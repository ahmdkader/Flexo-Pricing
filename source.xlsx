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extended-properties+xml" PartName="/docProps/app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README" sheetId="1" r:id="rId4"/>
    <sheet state="visible" name="MACHINE_COST" sheetId="2" r:id="rId5"/>
    <sheet state="visible" name="JOB_INPUTS" sheetId="3" r:id="rId6"/>
    <sheet state="visible" name="JOB_COSTING" sheetId="4" r:id="rId7"/>
    <sheet state="hidden" name="ANALYSIS" sheetId="5" r:id="rId8"/>
    <sheet state="hidden" name="CYLINDER_DB" sheetId="6" r:id="rId9"/>
    <sheet state="hidden" name="LEGACY_REVISION" sheetId="7" r:id="rId10"/>
    <sheet state="visible" name="CYLINDER_SELECTOR" sheetId="8" r:id="rId11"/>
  </sheets>
  <definedNames/>
  <calcPr/>
</workbook>
</file>

<file path=xl/sharedStrings.xml><?xml version="1.0" encoding="utf-8"?>
<sst xmlns="http://schemas.openxmlformats.org/spreadsheetml/2006/main" count="5495" uniqueCount="3109">
  <si>
    <t>FLEXO CYLINDER SELECTION, COSTING &amp; PRICING SYSTEM</t>
  </si>
  <si>
    <t>SYSTEM GUIDE</t>
  </si>
  <si>
    <t>Purpose</t>
  </si>
  <si>
    <t>Integrated workbook for selecting the best printing cylinder/repeat, calculating web consumption, estimating machine cost, depreciation, and job selling price.</t>
  </si>
  <si>
    <t>Workflow</t>
  </si>
  <si>
    <t>1) Enter job dimensions and quantity in JOB_INPUTS. 2) Review compatible cylinder options in CYLINDER_SELECTOR. 3) Confirm production assumptions. 4) Enter machine and cost parameters in MACHINE_COST. 5) Review total cost and selling price in JOB_COSTING.</t>
  </si>
  <si>
    <t>Yellow cells</t>
  </si>
  <si>
    <t>Manual inputs / assumptions.</t>
  </si>
  <si>
    <t>Green cells</t>
  </si>
  <si>
    <t>Calculated outputs.</t>
  </si>
  <si>
    <t>Cylinder logic</t>
  </si>
  <si>
    <t>Candidate repeat = cylinder teeth × 3.175 mm. The system calculates labels-around, actual gap, repeat utilization and ranks compatible cylinders.</t>
  </si>
  <si>
    <t>Important</t>
  </si>
  <si>
    <t>The current source file mixes manual inputs, formulas and pricing assumptions in one sheet. This rebuild separates master data, engineering calculations and costing to reduce errors.</t>
  </si>
  <si>
    <t>MACHINE HOURLY COST &amp; DEPRECIATION</t>
  </si>
  <si>
    <t>CAPEX &amp; DEPRECIATION INPUTS</t>
  </si>
  <si>
    <t>Flexo Press Purchase Value</t>
  </si>
  <si>
    <t>EGP</t>
  </si>
  <si>
    <t>Press Residual Value</t>
  </si>
  <si>
    <t>Press Useful Life</t>
  </si>
  <si>
    <t>years</t>
  </si>
  <si>
    <t>Press Annual Operating Hours</t>
  </si>
  <si>
    <t>hours</t>
  </si>
  <si>
    <t>Inspection Machine Purchase Value</t>
  </si>
  <si>
    <t>Inspection Machine Residual Value</t>
  </si>
  <si>
    <t>Inspection Machine Useful Life</t>
  </si>
  <si>
    <t>Inspection Annual Operating Hours</t>
  </si>
  <si>
    <t>Slitting / Rewinding Machine Purchase Value</t>
  </si>
  <si>
    <t>Slitting Machine Residual Value</t>
  </si>
  <si>
    <t>Slitting Machine Useful Life</t>
  </si>
  <si>
    <t>Slitting Annual Operating Hours</t>
  </si>
  <si>
    <t>OPERATING COST INPUTS</t>
  </si>
  <si>
    <t>Flexo Power Consumption</t>
  </si>
  <si>
    <t>kW average</t>
  </si>
  <si>
    <t>Inspection Power Consumption</t>
  </si>
  <si>
    <t>Slitting Power Consumption</t>
  </si>
  <si>
    <t>Electricity Tariff</t>
  </si>
  <si>
    <t>EGP/kWh</t>
  </si>
  <si>
    <t>Flexo Operators</t>
  </si>
  <si>
    <t>persons</t>
  </si>
  <si>
    <t>Average Operator Cost / Hour</t>
  </si>
  <si>
    <t>EGP/hour</t>
  </si>
  <si>
    <t>Maintenance Cost / Hour</t>
  </si>
  <si>
    <t>Factory Overhead / Hour</t>
  </si>
  <si>
    <t>Planned Utilization / Efficiency</t>
  </si>
  <si>
    <t>%</t>
  </si>
  <si>
    <t>CALCULATED HOURLY COST</t>
  </si>
  <si>
    <t>Flexo Depreciation / Hour</t>
  </si>
  <si>
    <t>Inspection Depreciation / Hour</t>
  </si>
  <si>
    <t>Slitting Depreciation / Hour</t>
  </si>
  <si>
    <t>Total Depreciation / Hour</t>
  </si>
  <si>
    <t>Electricity / Hour</t>
  </si>
  <si>
    <t>Labor / Hour</t>
  </si>
  <si>
    <t>Maintenance / Hour</t>
  </si>
  <si>
    <t>Base Hourly Cost</t>
  </si>
  <si>
    <t>Effective Hourly Cost</t>
  </si>
  <si>
    <t>JOB INPUTS</t>
  </si>
  <si>
    <t>JOB &amp; PRODUCTION PARAMETERS</t>
  </si>
  <si>
    <t>Job ID</t>
  </si>
  <si>
    <t>JOB-001</t>
  </si>
  <si>
    <t>Customer</t>
  </si>
  <si>
    <t>Order Quantity (labels)</t>
  </si>
  <si>
    <t>pcs</t>
  </si>
  <si>
    <t xml:space="preserve">Required Label Per Roll </t>
  </si>
  <si>
    <t>Required Rolls</t>
  </si>
  <si>
    <t>label/core</t>
  </si>
  <si>
    <t>Label Width</t>
  </si>
  <si>
    <t>mm</t>
  </si>
  <si>
    <t>Label Length</t>
  </si>
  <si>
    <t>Gap Across</t>
  </si>
  <si>
    <t>Gap Around</t>
  </si>
  <si>
    <t>Target Min Gap Around</t>
  </si>
  <si>
    <t>Press Speed</t>
  </si>
  <si>
    <t>m/min</t>
  </si>
  <si>
    <t>No. of Colors</t>
  </si>
  <si>
    <t>colors</t>
  </si>
  <si>
    <t>Z Numper</t>
  </si>
  <si>
    <t>Repeat Across</t>
  </si>
  <si>
    <t>Label</t>
  </si>
  <si>
    <t>Repeat around</t>
  </si>
  <si>
    <t>Printing Plate Width</t>
  </si>
  <si>
    <t>Printing Plate Length</t>
  </si>
  <si>
    <t>Material Side Margin</t>
  </si>
  <si>
    <t>Machine Width Limit</t>
  </si>
  <si>
    <t>Setup Waste</t>
  </si>
  <si>
    <t>m/color</t>
  </si>
  <si>
    <t>Roll Length</t>
  </si>
  <si>
    <t>m/roll</t>
  </si>
  <si>
    <t>Planned Waste %</t>
  </si>
  <si>
    <t>Rolls Required</t>
  </si>
  <si>
    <t>rolls</t>
  </si>
  <si>
    <t xml:space="preserve">Core Cost </t>
  </si>
  <si>
    <t xml:space="preserve">Carton Cost </t>
  </si>
  <si>
    <t xml:space="preserve">Packaging Cost </t>
  </si>
  <si>
    <t>Material Cost</t>
  </si>
  <si>
    <t>EGP/m²</t>
  </si>
  <si>
    <t xml:space="preserve">Cold Foil Cost </t>
  </si>
  <si>
    <t xml:space="preserve">Lamination Cost </t>
  </si>
  <si>
    <t>Ink Cost / m² / Color</t>
  </si>
  <si>
    <t>EGP/m²/color</t>
  </si>
  <si>
    <r>
      <rPr>
        <rFont val="Calibri"/>
        <color/>
        <sz val="11.0"/>
      </rPr>
      <t>Other Direct Cost / Job (</t>
    </r>
    <r>
      <rPr>
        <rFont val="Calibri"/>
        <b/>
        <color/>
        <sz val="11.0"/>
      </rPr>
      <t>PREPRESS</t>
    </r>
    <r>
      <rPr>
        <rFont val="Calibri"/>
        <color/>
        <sz val="11.0"/>
      </rPr>
      <t>),(</t>
    </r>
    <r>
      <rPr>
        <rFont val="Calibri"/>
        <b/>
        <color/>
        <sz val="11.0"/>
      </rPr>
      <t>NEW DIECUTTER</t>
    </r>
    <r>
      <rPr>
        <rFont val="Calibri"/>
        <color/>
        <sz val="11.0"/>
      </rPr>
      <t>)</t>
    </r>
  </si>
  <si>
    <t>EGP/job</t>
  </si>
  <si>
    <t>Target Profit Margin</t>
  </si>
  <si>
    <t>AUTOMATIC GEOMETRY</t>
  </si>
  <si>
    <t>No. Across</t>
  </si>
  <si>
    <t>labels</t>
  </si>
  <si>
    <t>Used Print Width</t>
  </si>
  <si>
    <t>Material Width Required</t>
  </si>
  <si>
    <t>Fit Status</t>
  </si>
  <si>
    <t>JOB COSTING &amp; SELLING PRICE</t>
  </si>
  <si>
    <t>PRODUCTION QUANTITY &amp; MATERIAL CALCULATION</t>
  </si>
  <si>
    <t>PRODUCTION QUANTITY &amp; MATERIAL CALCULATION IN DOUBLE LAYER LABEL</t>
  </si>
  <si>
    <t>Order Quantity</t>
  </si>
  <si>
    <t>No. Around</t>
  </si>
  <si>
    <t>Labels Around</t>
  </si>
  <si>
    <t>m</t>
  </si>
  <si>
    <t>Labels per Repeat</t>
  </si>
  <si>
    <t>Cylinder Repeat</t>
  </si>
  <si>
    <t>Net Web Length</t>
  </si>
  <si>
    <t>Production Waste</t>
  </si>
  <si>
    <t>Total Web Length</t>
  </si>
  <si>
    <t>Material Width</t>
  </si>
  <si>
    <t>Material Area</t>
  </si>
  <si>
    <t>m²</t>
  </si>
  <si>
    <t>TIME CALCULATION</t>
  </si>
  <si>
    <t>TIME CALCULATION  IN DOUBLE LAYER LABEL</t>
  </si>
  <si>
    <t>Flexo Running Time</t>
  </si>
  <si>
    <t>min</t>
  </si>
  <si>
    <t>Setup Time</t>
  </si>
  <si>
    <t>Total Flexo Time</t>
  </si>
  <si>
    <t>Inspection Time</t>
  </si>
  <si>
    <t>Slitting / Rewinding Time</t>
  </si>
  <si>
    <t>Total Machine Time</t>
  </si>
  <si>
    <t>COST &amp; SELLING PRICE</t>
  </si>
  <si>
    <t>COST &amp; SELLING PRICE IN DOUBLE LAYER LABEL</t>
  </si>
  <si>
    <t>Ink Cost</t>
  </si>
  <si>
    <t>240 ml eva</t>
  </si>
  <si>
    <t>Machine &amp; Operating Cost</t>
  </si>
  <si>
    <t>Core Cost</t>
  </si>
  <si>
    <t>Carton Cost</t>
  </si>
  <si>
    <t>Plates Cost</t>
  </si>
  <si>
    <t>Other Direct Cost</t>
  </si>
  <si>
    <t>Total Job Cost</t>
  </si>
  <si>
    <t>Cost / 1,000 Labels</t>
  </si>
  <si>
    <t>EGP/1000</t>
  </si>
  <si>
    <t>Cost / Label</t>
  </si>
  <si>
    <t>Selling Price After Margin</t>
  </si>
  <si>
    <t>Selling Price / 1,000 Labels</t>
  </si>
  <si>
    <t>Selling Price / Label</t>
  </si>
  <si>
    <t>Expected Profit</t>
  </si>
  <si>
    <t>85ml Eva cosmatics</t>
  </si>
  <si>
    <t>ANALYSIS OF ORIGINAL FILE &amp; CONTROL POINTS</t>
  </si>
  <si>
    <t>MAIN FINDINGS</t>
  </si>
  <si>
    <t>1</t>
  </si>
  <si>
    <t>The original workbook combines job data, cylinder selection, material consumption and pricing assumptions on one REVISION sheet.</t>
  </si>
  <si>
    <t>2</t>
  </si>
  <si>
    <t>Cylinder selection is partly manual: a list of available tooth counts is tested against label length and a fixed minimum gap formula.</t>
  </si>
  <si>
    <t>3</t>
  </si>
  <si>
    <t>The source uses 3.175 mm per cylinder tooth, which is retained in the new selector.</t>
  </si>
  <si>
    <t>4</t>
  </si>
  <si>
    <t>Material width logic and repeat logic are separated from costing in the new system so changes to label dimensions update downstream calculations.</t>
  </si>
  <si>
    <t>5</t>
  </si>
  <si>
    <t>Original pricing formulas use assumptions such as 50 m setup allowance per color, 2,000 m roll length and a profit/markup calculation. These are now editable inputs.</t>
  </si>
  <si>
    <t>6</t>
  </si>
  <si>
    <t>Machine depreciation was not structurally separated. The new workbook calculates hourly depreciation for the flexo press, inspection machine and slitting/rewinding machine independently.</t>
  </si>
  <si>
    <t>7</t>
  </si>
  <si>
    <t>All zero-cost values in MACHINE_COST are intentionally editable because machine purchase values, energy tariff and labor costs must come from your actual factory figures.</t>
  </si>
  <si>
    <t>8</t>
  </si>
  <si>
    <t>Recommendation: validate the final selected cylinder against the actual press gear standard, plate thickness, mounting tape and OEM repeat chart before production.</t>
  </si>
  <si>
    <t>DIE CUTTER NORMAL &amp; SPECIAL</t>
  </si>
  <si>
    <t>Width</t>
  </si>
  <si>
    <t>Length</t>
  </si>
  <si>
    <t>NO.Across</t>
  </si>
  <si>
    <t>NO.Around</t>
  </si>
  <si>
    <t>Total no.</t>
  </si>
  <si>
    <t>Z No.</t>
  </si>
  <si>
    <t xml:space="preserve">Repeat </t>
  </si>
  <si>
    <t>Print Area Cm2</t>
  </si>
  <si>
    <t>1000/Sqm</t>
  </si>
  <si>
    <t>Material</t>
  </si>
  <si>
    <t>Order No.</t>
  </si>
  <si>
    <t>Notes</t>
  </si>
  <si>
    <t>Paper</t>
  </si>
  <si>
    <t>013/001</t>
  </si>
  <si>
    <t>2 die cutter spilker &amp; wink</t>
  </si>
  <si>
    <t>013/002</t>
  </si>
  <si>
    <t>1.2.3 SYRUP 120 GM</t>
  </si>
  <si>
    <t>Film</t>
  </si>
  <si>
    <t>013/003</t>
  </si>
  <si>
    <t>013/004</t>
  </si>
  <si>
    <t>013/005</t>
  </si>
  <si>
    <t>013/006</t>
  </si>
  <si>
    <t>013/007</t>
  </si>
  <si>
    <t>Arma - OXI 700</t>
  </si>
  <si>
    <t>013/008</t>
  </si>
  <si>
    <t>013/009</t>
  </si>
  <si>
    <t>Arma - Wafer - cut the die to be 1 in width</t>
  </si>
  <si>
    <t>013/010</t>
  </si>
  <si>
    <t>Energy-DOT4</t>
  </si>
  <si>
    <t>013/011</t>
  </si>
  <si>
    <t>Energy - cool water</t>
  </si>
  <si>
    <t>013/012</t>
  </si>
  <si>
    <t>Al Rawda Sweet</t>
  </si>
  <si>
    <t>013/013</t>
  </si>
  <si>
    <t>013/014</t>
  </si>
  <si>
    <t>013/015</t>
  </si>
  <si>
    <t>Mobil (need to be film+lamination)</t>
  </si>
  <si>
    <t>013/016</t>
  </si>
  <si>
    <t>013/017</t>
  </si>
  <si>
    <t>013/018</t>
  </si>
  <si>
    <t>Tabco-front&amp;back</t>
  </si>
  <si>
    <t>013/019</t>
  </si>
  <si>
    <t>013/020</t>
  </si>
  <si>
    <t>013/021</t>
  </si>
  <si>
    <t>Puerx</t>
  </si>
  <si>
    <t>013/022</t>
  </si>
  <si>
    <t>Afia-Front&amp;Back</t>
  </si>
  <si>
    <t>013/023</t>
  </si>
  <si>
    <t>Afia-Hart</t>
  </si>
  <si>
    <t>013/024</t>
  </si>
  <si>
    <t>013/025</t>
  </si>
  <si>
    <t>013/026</t>
  </si>
  <si>
    <t>Nefrtary -sparkel shampoo 400ml - F&amp;B</t>
  </si>
  <si>
    <t>013/027</t>
  </si>
  <si>
    <t>013/028</t>
  </si>
  <si>
    <t>My Way F&amp;B 500 ml</t>
  </si>
  <si>
    <t>013/029</t>
  </si>
  <si>
    <t>My Way F&amp;B 1500 ml</t>
  </si>
  <si>
    <t>013/030</t>
  </si>
  <si>
    <t>38 X 25/2 without corner</t>
  </si>
  <si>
    <t>013/031</t>
  </si>
  <si>
    <t>fefa olives</t>
  </si>
  <si>
    <t>013/032</t>
  </si>
  <si>
    <t>013/033</t>
  </si>
  <si>
    <t>013/034</t>
  </si>
  <si>
    <t>Caltex valor 300 - 4 ltr</t>
  </si>
  <si>
    <t>013/035</t>
  </si>
  <si>
    <t>013/036</t>
  </si>
  <si>
    <t>013/037</t>
  </si>
  <si>
    <t>013/038</t>
  </si>
  <si>
    <t>013/039</t>
  </si>
  <si>
    <t>WadiFood- Tometo 370 gm</t>
  </si>
  <si>
    <t>013/040</t>
  </si>
  <si>
    <t>013/041</t>
  </si>
  <si>
    <t>013/042</t>
  </si>
  <si>
    <t>Wink</t>
  </si>
  <si>
    <t>013/043</t>
  </si>
  <si>
    <t>013/044</t>
  </si>
  <si>
    <t>Wink-wadi food</t>
  </si>
  <si>
    <t>013/045</t>
  </si>
  <si>
    <t>013/046</t>
  </si>
  <si>
    <t>013/047</t>
  </si>
  <si>
    <t>Front &amp; back separated - Misr Petrolum 5L</t>
  </si>
  <si>
    <t>013/048</t>
  </si>
  <si>
    <t>Front &amp; back separated - Misr Petrolum 4L</t>
  </si>
  <si>
    <t>013/049</t>
  </si>
  <si>
    <t>013/050</t>
  </si>
  <si>
    <t>013/051</t>
  </si>
  <si>
    <t>El bwadi</t>
  </si>
  <si>
    <t>013/052</t>
  </si>
  <si>
    <t>013/053</t>
  </si>
  <si>
    <t>013/054</t>
  </si>
  <si>
    <t>013/055</t>
  </si>
  <si>
    <t>Loreal</t>
  </si>
  <si>
    <t>013/056</t>
  </si>
  <si>
    <t>ADCO- Velvata front&amp;back</t>
  </si>
  <si>
    <t>013/057</t>
  </si>
  <si>
    <t>Carmen</t>
  </si>
  <si>
    <t>013/058</t>
  </si>
  <si>
    <t>Energy 1 ltr front&amp;back</t>
  </si>
  <si>
    <t>013/059</t>
  </si>
  <si>
    <t>Vatika oil 45 ml</t>
  </si>
  <si>
    <t>013/060</t>
  </si>
  <si>
    <t>013/061</t>
  </si>
  <si>
    <t>013/062</t>
  </si>
  <si>
    <t>013/063</t>
  </si>
  <si>
    <t>013/064</t>
  </si>
  <si>
    <t>013/065</t>
  </si>
  <si>
    <t>013/066</t>
  </si>
  <si>
    <t>italiano-el maleka</t>
  </si>
  <si>
    <t>013/067</t>
  </si>
  <si>
    <t>Misr Petrolum</t>
  </si>
  <si>
    <t>013/068</t>
  </si>
  <si>
    <t>014/069</t>
  </si>
  <si>
    <t>014/070</t>
  </si>
  <si>
    <t>014/071</t>
  </si>
  <si>
    <t>crystal 1.75 ltr same direcation</t>
  </si>
  <si>
    <t>014/072</t>
  </si>
  <si>
    <t>014/073</t>
  </si>
  <si>
    <t>Loreal 200 ml</t>
  </si>
  <si>
    <t>014/074</t>
  </si>
  <si>
    <t>014/075</t>
  </si>
  <si>
    <t>Fefe co small</t>
  </si>
  <si>
    <t>014/076</t>
  </si>
  <si>
    <t>Fefe co big</t>
  </si>
  <si>
    <t>014/077</t>
  </si>
  <si>
    <t>peraly-natpack</t>
  </si>
  <si>
    <t>014/078</t>
  </si>
  <si>
    <t>Abu Hawa</t>
  </si>
  <si>
    <t>014/079</t>
  </si>
  <si>
    <t>014/080</t>
  </si>
  <si>
    <t>014/081</t>
  </si>
  <si>
    <t>014/082</t>
  </si>
  <si>
    <t>014/083</t>
  </si>
  <si>
    <t>Abu Hawa-jumpo</t>
  </si>
  <si>
    <t>014/084</t>
  </si>
  <si>
    <t>014/085</t>
  </si>
  <si>
    <t>014/086</t>
  </si>
  <si>
    <t>el bwadi-bigعلوي</t>
  </si>
  <si>
    <t>014/087</t>
  </si>
  <si>
    <t>WadiFood- Olives export 115-320</t>
  </si>
  <si>
    <t>014/088</t>
  </si>
  <si>
    <t>014/89</t>
  </si>
  <si>
    <t>LOREAL-ULTRA DUX 90 ML</t>
  </si>
  <si>
    <t>014/090</t>
  </si>
  <si>
    <t>EVA front&amp;back AleoVera 50</t>
  </si>
  <si>
    <t>014/091</t>
  </si>
  <si>
    <t>El Melaka open label</t>
  </si>
  <si>
    <t>014/092</t>
  </si>
  <si>
    <t>014/093</t>
  </si>
  <si>
    <t>014/094</t>
  </si>
  <si>
    <t>EVA front&amp;back AleoVera 100</t>
  </si>
  <si>
    <t>014/095</t>
  </si>
  <si>
    <t>EVA front&amp;back AleoVera 300</t>
  </si>
  <si>
    <t>014/096</t>
  </si>
  <si>
    <t>014/097</t>
  </si>
  <si>
    <t>014/098</t>
  </si>
  <si>
    <t>014/099</t>
  </si>
  <si>
    <t>Crystal 1.75 ltr export</t>
  </si>
  <si>
    <t>014/100</t>
  </si>
  <si>
    <t>Crystal 3 ltr export</t>
  </si>
  <si>
    <t>014/101</t>
  </si>
  <si>
    <t>Vatika Gil for natpack</t>
  </si>
  <si>
    <t>014/102</t>
  </si>
  <si>
    <t>Velvata4kg 2 die sperated front-back</t>
  </si>
  <si>
    <t>014/103</t>
  </si>
  <si>
    <t>014/104</t>
  </si>
  <si>
    <t>014/105</t>
  </si>
  <si>
    <t>Crystal 2 ltr export</t>
  </si>
  <si>
    <t>014/106</t>
  </si>
  <si>
    <t>Crystal neck export</t>
  </si>
  <si>
    <t>014/107</t>
  </si>
  <si>
    <t>such 700 for nefrteary</t>
  </si>
  <si>
    <t>014/108</t>
  </si>
  <si>
    <t>Tapco</t>
  </si>
  <si>
    <t>014/109</t>
  </si>
  <si>
    <t>014/110</t>
  </si>
  <si>
    <t>014/111</t>
  </si>
  <si>
    <t>Asil 2.75</t>
  </si>
  <si>
    <t>014/112</t>
  </si>
  <si>
    <t>Franke Neo</t>
  </si>
  <si>
    <t>014/113</t>
  </si>
  <si>
    <t>014/114</t>
  </si>
  <si>
    <t>014/115</t>
  </si>
  <si>
    <t>014/116</t>
  </si>
  <si>
    <t>Qulity Oil 1 Ltr</t>
  </si>
  <si>
    <t>014/117</t>
  </si>
  <si>
    <t>AUG Front &amp; Back</t>
  </si>
  <si>
    <t>014/118</t>
  </si>
  <si>
    <t>Samsung corner rduice 0.5 mm</t>
  </si>
  <si>
    <t>014/119</t>
  </si>
  <si>
    <t>014/120</t>
  </si>
  <si>
    <t>014/121</t>
  </si>
  <si>
    <t>Abo Hawa</t>
  </si>
  <si>
    <t>014/122</t>
  </si>
  <si>
    <t>Lama 1 Ltr</t>
  </si>
  <si>
    <t>014/123</t>
  </si>
  <si>
    <t>014/124</t>
  </si>
  <si>
    <t>014/125</t>
  </si>
  <si>
    <t>014/126</t>
  </si>
  <si>
    <t>wadi food</t>
  </si>
  <si>
    <t>014/127</t>
  </si>
  <si>
    <t>014/128</t>
  </si>
  <si>
    <t>Effco-Nour 1 ltr</t>
  </si>
  <si>
    <t>014/129</t>
  </si>
  <si>
    <t>014/130</t>
  </si>
  <si>
    <t>014/131</t>
  </si>
  <si>
    <t>014/132</t>
  </si>
  <si>
    <t>el fayaz - halwa</t>
  </si>
  <si>
    <t>014/133</t>
  </si>
  <si>
    <t>Arma-Hala Neck</t>
  </si>
  <si>
    <t>014/134</t>
  </si>
  <si>
    <t>014/135</t>
  </si>
  <si>
    <t>Qulity Oil 4 Ltr</t>
  </si>
  <si>
    <t>014/136</t>
  </si>
  <si>
    <t>Arma-Hala 1.75 front&amp;back</t>
  </si>
  <si>
    <t>014/137</t>
  </si>
  <si>
    <t>014/138</t>
  </si>
  <si>
    <t>014/139</t>
  </si>
  <si>
    <t>014/140</t>
  </si>
  <si>
    <t>NatPack-Vatika big gap</t>
  </si>
  <si>
    <t>014/141</t>
  </si>
  <si>
    <t>wadifood</t>
  </si>
  <si>
    <t>014/142</t>
  </si>
  <si>
    <t>014/0143</t>
  </si>
  <si>
    <t>014/144</t>
  </si>
  <si>
    <t>qulity oil</t>
  </si>
  <si>
    <t>014/145</t>
  </si>
  <si>
    <t>014/146</t>
  </si>
  <si>
    <t>014/147</t>
  </si>
  <si>
    <t>014/148</t>
  </si>
  <si>
    <t>afia 3 ltr</t>
  </si>
  <si>
    <t>014/149</t>
  </si>
  <si>
    <t>014/150</t>
  </si>
  <si>
    <t>vatika 180 ml</t>
  </si>
  <si>
    <t>014/151</t>
  </si>
  <si>
    <t>EVA 200 ML</t>
  </si>
  <si>
    <t>014/152</t>
  </si>
  <si>
    <t>014/153</t>
  </si>
  <si>
    <t>Adco-Feba 2 Kg</t>
  </si>
  <si>
    <t>014/154</t>
  </si>
  <si>
    <t>Nefrtary -sparkel shampoo 700ml - F&amp;B</t>
  </si>
  <si>
    <t>014/155</t>
  </si>
  <si>
    <t>014/156</t>
  </si>
  <si>
    <t>el fayez halwa 150 ml  F&amp;B</t>
  </si>
  <si>
    <t>014/157</t>
  </si>
  <si>
    <t>el fayez halwa</t>
  </si>
  <si>
    <t>014/158</t>
  </si>
  <si>
    <t>014/159</t>
  </si>
  <si>
    <t>Loreal-ultra doux</t>
  </si>
  <si>
    <t>014/160</t>
  </si>
  <si>
    <t>014/161</t>
  </si>
  <si>
    <t xml:space="preserve">Loreal ultra doux  200 ml </t>
  </si>
  <si>
    <t>014/162</t>
  </si>
  <si>
    <t>madar-jut front</t>
  </si>
  <si>
    <t>014/163</t>
  </si>
  <si>
    <t>madar-jut back</t>
  </si>
  <si>
    <t>014/164</t>
  </si>
  <si>
    <t>014/165</t>
  </si>
  <si>
    <t>014/166</t>
  </si>
  <si>
    <t>014/167</t>
  </si>
  <si>
    <t>014/168</t>
  </si>
  <si>
    <t>Otsuka</t>
  </si>
  <si>
    <t>014/169</t>
  </si>
  <si>
    <t>purex front &amp; back</t>
  </si>
  <si>
    <t>014/170</t>
  </si>
  <si>
    <t>qulity oil front &amp; back</t>
  </si>
  <si>
    <t>014/171</t>
  </si>
  <si>
    <t>014/172</t>
  </si>
  <si>
    <t>014/173</t>
  </si>
  <si>
    <t>014/174</t>
  </si>
  <si>
    <t>Loreal ultra doux conditioner back</t>
  </si>
  <si>
    <t>014/175</t>
  </si>
  <si>
    <t>014/176</t>
  </si>
  <si>
    <t>014/177</t>
  </si>
  <si>
    <t>abu hawa</t>
  </si>
  <si>
    <t>014/178</t>
  </si>
  <si>
    <t>014/179</t>
  </si>
  <si>
    <t>014/180</t>
  </si>
  <si>
    <t>madar 500 ml f&amp;b Ultra Noura</t>
  </si>
  <si>
    <t>014/181</t>
  </si>
  <si>
    <t>014/182</t>
  </si>
  <si>
    <t>eva</t>
  </si>
  <si>
    <t>014/183</t>
  </si>
  <si>
    <t>014/184</t>
  </si>
  <si>
    <t>total</t>
  </si>
  <si>
    <t>014/185</t>
  </si>
  <si>
    <t>014/186</t>
  </si>
  <si>
    <t>arma- oxi gel 1 kg front</t>
  </si>
  <si>
    <t>014/187</t>
  </si>
  <si>
    <t>spring pharama</t>
  </si>
  <si>
    <t>014/188</t>
  </si>
  <si>
    <t>014/189</t>
  </si>
  <si>
    <t>014/190</t>
  </si>
  <si>
    <t>014/191</t>
  </si>
  <si>
    <t>NOVARTIS PHARMA S.A.E CO.      METHERGIN 200 MG / 1 ML ( AMPOULE )</t>
  </si>
  <si>
    <t>014/192</t>
  </si>
  <si>
    <t>arma-oxi gel 3 kg front</t>
  </si>
  <si>
    <t>014/193</t>
  </si>
  <si>
    <t>014/194</t>
  </si>
  <si>
    <t>014/195</t>
  </si>
  <si>
    <t>arma-oxi 700 front only</t>
  </si>
  <si>
    <t>014/196</t>
  </si>
  <si>
    <t>johnson wax - widex</t>
  </si>
  <si>
    <t>014/197</t>
  </si>
  <si>
    <t>014/198</t>
  </si>
  <si>
    <t>014/199</t>
  </si>
  <si>
    <t>madar - vevo front</t>
  </si>
  <si>
    <t>014/200</t>
  </si>
  <si>
    <t>madar - vevo back</t>
  </si>
  <si>
    <t>014/201</t>
  </si>
  <si>
    <t>johnson wax - mr mucel</t>
  </si>
  <si>
    <t>014/202</t>
  </si>
  <si>
    <t>oxi gel 3 K back</t>
  </si>
  <si>
    <t>014/203</t>
  </si>
  <si>
    <t>oxi gel front 3 kg</t>
  </si>
  <si>
    <t>014/204</t>
  </si>
  <si>
    <t>oxi gel back 3 kg</t>
  </si>
  <si>
    <t>014/205</t>
  </si>
  <si>
    <t>neck afia 3 ltr</t>
  </si>
  <si>
    <t>014/206</t>
  </si>
  <si>
    <t>neck afia 1 ltr</t>
  </si>
  <si>
    <t>014/207</t>
  </si>
  <si>
    <t>johanson wax front&amp;back</t>
  </si>
  <si>
    <t>014/208</t>
  </si>
  <si>
    <t xml:space="preserve">Samsung  2 label </t>
  </si>
  <si>
    <t>014/209</t>
  </si>
  <si>
    <t>014/210</t>
  </si>
  <si>
    <t>Loreal-UltraDoux 250 ml  shampoo</t>
  </si>
  <si>
    <t>014/211</t>
  </si>
  <si>
    <t>samsung</t>
  </si>
  <si>
    <t>014/212</t>
  </si>
  <si>
    <t>014/213</t>
  </si>
  <si>
    <t>014/214</t>
  </si>
  <si>
    <t>MADAR- GET BACK LEBAL600</t>
  </si>
  <si>
    <t>015/215</t>
  </si>
  <si>
    <t>BASH PHARMA FRONT&amp;BACK</t>
  </si>
  <si>
    <t>015/217</t>
  </si>
  <si>
    <t>015/218</t>
  </si>
  <si>
    <t>MADAR- ARTY FRONT&amp;BACK SHAMPOO 400 ML</t>
  </si>
  <si>
    <t>015/219</t>
  </si>
  <si>
    <t>015/220</t>
  </si>
  <si>
    <t>015/221</t>
  </si>
  <si>
    <t>AFIA-ALGERIA 1 LTR ARABIC-ENGLISH</t>
  </si>
  <si>
    <t>015/222</t>
  </si>
  <si>
    <t>015/223</t>
  </si>
  <si>
    <t>GARGOUR-PERFORATION-KISS CUT</t>
  </si>
  <si>
    <t>015/224</t>
  </si>
  <si>
    <t>015/225</t>
  </si>
  <si>
    <t>015/226</t>
  </si>
  <si>
    <t>015/227</t>
  </si>
  <si>
    <t>015/228</t>
  </si>
  <si>
    <t>015/229</t>
  </si>
  <si>
    <t>PETRONAS-FRONT&amp;BACK 4&amp;5 LTR- SEPARATED 2DIE CUTTER</t>
  </si>
  <si>
    <t>015/230</t>
  </si>
  <si>
    <t>PETRONAS-FRONT&amp;BACK 3 LTR - SEPARATED 2DIE CUTTER</t>
  </si>
  <si>
    <t>015/231</t>
  </si>
  <si>
    <t>PETRONAS-FRONT&amp;BACK 5 LTR - SEPARATED 2DIE CUTTER</t>
  </si>
  <si>
    <t>PETRONAS-FRONT&amp;BACK 1 LTR</t>
  </si>
  <si>
    <t>015/233</t>
  </si>
  <si>
    <t>015/234</t>
  </si>
  <si>
    <t>015/235</t>
  </si>
  <si>
    <t>madar arty shampoo front&amp;back</t>
  </si>
  <si>
    <t>015/236</t>
  </si>
  <si>
    <t>bashparam sudan front&amp;back</t>
  </si>
  <si>
    <t>015/237</t>
  </si>
  <si>
    <t>سيتال 60 ملل شراب أ / ف أثيوبيا</t>
  </si>
  <si>
    <t>015/238</t>
  </si>
  <si>
    <t>015/239</t>
  </si>
  <si>
    <t xml:space="preserve">mostafa el abady </t>
  </si>
  <si>
    <t>015/240</t>
  </si>
  <si>
    <t>2die cutter material&amp;Liner   SAMSUNG</t>
  </si>
  <si>
    <t>015/241</t>
  </si>
  <si>
    <t>Die cutter&amp;perforation</t>
  </si>
  <si>
    <t>015/242</t>
  </si>
  <si>
    <t>015/243</t>
  </si>
  <si>
    <t>015/244</t>
  </si>
  <si>
    <t>neck afia 3ltr</t>
  </si>
  <si>
    <t>015/245</t>
  </si>
  <si>
    <t>015/247</t>
  </si>
  <si>
    <t>wadi food 360</t>
  </si>
  <si>
    <t>015/248</t>
  </si>
  <si>
    <t>015/249</t>
  </si>
  <si>
    <t>015/250</t>
  </si>
  <si>
    <t>015/251</t>
  </si>
  <si>
    <t>zina oil</t>
  </si>
  <si>
    <t>015/252</t>
  </si>
  <si>
    <t>my way cleopatra shampoo 700</t>
  </si>
  <si>
    <t>015/253</t>
  </si>
  <si>
    <t>015/254</t>
  </si>
  <si>
    <t>new die for Al Asil 2.75Ltr</t>
  </si>
  <si>
    <t>015/255</t>
  </si>
  <si>
    <t>my way</t>
  </si>
  <si>
    <t>015/256</t>
  </si>
  <si>
    <t>015/257</t>
  </si>
  <si>
    <t>015/259</t>
  </si>
  <si>
    <t>Lorel Fractuis label</t>
  </si>
  <si>
    <t>015/260</t>
  </si>
  <si>
    <t>015/261</t>
  </si>
  <si>
    <t>015/262</t>
  </si>
  <si>
    <t>015/263</t>
  </si>
  <si>
    <t>50x25/2 sperated corner</t>
  </si>
  <si>
    <t>015/264</t>
  </si>
  <si>
    <t>38x25/2 sperated corner</t>
  </si>
  <si>
    <t>015/265</t>
  </si>
  <si>
    <t>015/266</t>
  </si>
  <si>
    <t>015/267</t>
  </si>
  <si>
    <t>Royal front &amp; back</t>
  </si>
  <si>
    <t>015/269</t>
  </si>
  <si>
    <t>015/270</t>
  </si>
  <si>
    <t>koshala olive oil corner 4mm</t>
  </si>
  <si>
    <t>015/271</t>
  </si>
  <si>
    <t>015/272</t>
  </si>
  <si>
    <t xml:space="preserve"> corner 3 mm</t>
  </si>
  <si>
    <t>015/273</t>
  </si>
  <si>
    <t>adco neck glassy</t>
  </si>
  <si>
    <t>015/274</t>
  </si>
  <si>
    <t xml:space="preserve"> adco glassy front</t>
  </si>
  <si>
    <t>015/275</t>
  </si>
  <si>
    <t>adco glassy back</t>
  </si>
  <si>
    <t>015/276</t>
  </si>
  <si>
    <t>shild 1 ltr front&amp;back</t>
  </si>
  <si>
    <t>015/277</t>
  </si>
  <si>
    <t>shild 4 ltr front&amp;back</t>
  </si>
  <si>
    <t>015/278</t>
  </si>
  <si>
    <t>015/279</t>
  </si>
  <si>
    <t>Madar- hand wash front&amp;back 300ml</t>
  </si>
  <si>
    <t>015/280</t>
  </si>
  <si>
    <t>015/281</t>
  </si>
  <si>
    <t>015/282</t>
  </si>
  <si>
    <t>015/283</t>
  </si>
  <si>
    <t>Adco- velveta 1 kg fornt&amp;back</t>
  </si>
  <si>
    <t>015/284</t>
  </si>
  <si>
    <t>Adco-velveta 2 kg fornt&amp;back</t>
  </si>
  <si>
    <t>015/285</t>
  </si>
  <si>
    <t>015/286</t>
  </si>
  <si>
    <t>015/287</t>
  </si>
  <si>
    <t>015/288</t>
  </si>
  <si>
    <t>015/289</t>
  </si>
  <si>
    <t>015/290</t>
  </si>
  <si>
    <t>015/291</t>
  </si>
  <si>
    <t>015/292</t>
  </si>
  <si>
    <t>015/293</t>
  </si>
  <si>
    <t>015/294</t>
  </si>
  <si>
    <t>015/295</t>
  </si>
  <si>
    <t>MyWay-Cream 500 ml KeraCure</t>
  </si>
  <si>
    <t>015/296</t>
  </si>
  <si>
    <t>015/297</t>
  </si>
  <si>
    <t>015/298</t>
  </si>
  <si>
    <t xml:space="preserve"> WADIFOOD    TOMATO PASTE 195 G </t>
  </si>
  <si>
    <t>015/299</t>
  </si>
  <si>
    <t>015/300</t>
  </si>
  <si>
    <t>015/301</t>
  </si>
  <si>
    <t>015/302</t>
  </si>
  <si>
    <t>xxxxxxxx</t>
  </si>
  <si>
    <t>015/303</t>
  </si>
  <si>
    <t>015/304</t>
  </si>
  <si>
    <t>Arma</t>
  </si>
  <si>
    <t>015/305</t>
  </si>
  <si>
    <t>015/306</t>
  </si>
  <si>
    <t>Samsung-Stand label</t>
  </si>
  <si>
    <t>015/307</t>
  </si>
  <si>
    <t>Samsung-pop label with prphration 2 die</t>
  </si>
  <si>
    <t>015/308</t>
  </si>
  <si>
    <t>Samsung-pop label with  2 die</t>
  </si>
  <si>
    <t>015/309</t>
  </si>
  <si>
    <t>015/310</t>
  </si>
  <si>
    <t>015/311</t>
  </si>
  <si>
    <t>015/312</t>
  </si>
  <si>
    <t>015/313</t>
  </si>
  <si>
    <t>Arma-New Oxi 700 ml front</t>
  </si>
  <si>
    <t>015/314</t>
  </si>
  <si>
    <t>015/315</t>
  </si>
  <si>
    <t>015/316</t>
  </si>
  <si>
    <t>015/317</t>
  </si>
  <si>
    <t xml:space="preserve">Allmed-Bio Carb </t>
  </si>
  <si>
    <t>015/318</t>
  </si>
  <si>
    <t>015/319</t>
  </si>
  <si>
    <t>Samsung-energy  2 die</t>
  </si>
  <si>
    <t>015/320</t>
  </si>
  <si>
    <t>Adco-Feba 4 Kg</t>
  </si>
  <si>
    <t>015/321</t>
  </si>
  <si>
    <t>Flora</t>
  </si>
  <si>
    <t>015/322</t>
  </si>
  <si>
    <t>kafer el zayat - kafro tox</t>
  </si>
  <si>
    <t>015/323</t>
  </si>
  <si>
    <t>015/324</t>
  </si>
  <si>
    <t>Madar- Shampoo 700 ml big export</t>
  </si>
  <si>
    <t>015/325</t>
  </si>
  <si>
    <t>Madar- Shampoo small export</t>
  </si>
  <si>
    <t>015/326</t>
  </si>
  <si>
    <t>015/327</t>
  </si>
  <si>
    <t>Samsung-smart care small</t>
  </si>
  <si>
    <t>015/328</t>
  </si>
  <si>
    <t>Samsung-smart care big</t>
  </si>
  <si>
    <t>015/329</t>
  </si>
  <si>
    <t>Loral-Back 700 ml Elvive</t>
  </si>
  <si>
    <t>015/330</t>
  </si>
  <si>
    <t>015/331</t>
  </si>
  <si>
    <t>015/332</t>
  </si>
  <si>
    <t>El Frasha - New shape Italiano</t>
  </si>
  <si>
    <t>015/333</t>
  </si>
  <si>
    <t>015/334</t>
  </si>
  <si>
    <t>015/336</t>
  </si>
  <si>
    <t>015/337</t>
  </si>
  <si>
    <t>Wadi food</t>
  </si>
  <si>
    <t>015/338</t>
  </si>
  <si>
    <t>015/339</t>
  </si>
  <si>
    <t>015/340</t>
  </si>
  <si>
    <t>2 layer die cutter</t>
  </si>
  <si>
    <t>015/341</t>
  </si>
  <si>
    <t>Loreal 700 Ml</t>
  </si>
  <si>
    <t>015/342</t>
  </si>
  <si>
    <t>015/343</t>
  </si>
  <si>
    <t>015/344</t>
  </si>
  <si>
    <t>015/345</t>
  </si>
  <si>
    <t>015/346</t>
  </si>
  <si>
    <t>015/347</t>
  </si>
  <si>
    <t>015/348</t>
  </si>
  <si>
    <t>015/349</t>
  </si>
  <si>
    <t>015/350</t>
  </si>
  <si>
    <t xml:space="preserve">Perforation die cutter </t>
  </si>
  <si>
    <t>015/351</t>
  </si>
  <si>
    <t>Arma Crystal 3.5 ltr</t>
  </si>
  <si>
    <t>015/352</t>
  </si>
  <si>
    <t>Arma Crystal neck</t>
  </si>
  <si>
    <t>015/353</t>
  </si>
  <si>
    <t>015/354</t>
  </si>
  <si>
    <t>Aug Front &amp; Back new size</t>
  </si>
  <si>
    <t>015/355</t>
  </si>
  <si>
    <t>015/356</t>
  </si>
  <si>
    <t xml:space="preserve">CHLORPHENIRAMINE MALEATE SYRUP 125 ML </t>
  </si>
  <si>
    <t>015/357</t>
  </si>
  <si>
    <t xml:space="preserve">Fol soap 730 ml </t>
  </si>
  <si>
    <t>016/358</t>
  </si>
  <si>
    <t>016/359</t>
  </si>
  <si>
    <t>016/360</t>
  </si>
  <si>
    <t>Acadian 2.5kg front</t>
  </si>
  <si>
    <t>016/361</t>
  </si>
  <si>
    <t>back</t>
  </si>
  <si>
    <t>016/362</t>
  </si>
  <si>
    <t>016/363</t>
  </si>
  <si>
    <t>Arma Hedya Oil front&amp;back 1.75 ltr</t>
  </si>
  <si>
    <t>016/364</t>
  </si>
  <si>
    <t>Arma Hedya Oil Neck</t>
  </si>
  <si>
    <t>016/365</t>
  </si>
  <si>
    <t>Kafrotox</t>
  </si>
  <si>
    <t>016/366</t>
  </si>
  <si>
    <t>016/367</t>
  </si>
  <si>
    <t>YARA VITA - HYDROPHO 1 LT (للبطاطس )</t>
  </si>
  <si>
    <t>016/368</t>
  </si>
  <si>
    <t>016/369</t>
  </si>
  <si>
    <t>016/370</t>
  </si>
  <si>
    <t>016/371</t>
  </si>
  <si>
    <t>016/372</t>
  </si>
  <si>
    <t>016/373</t>
  </si>
  <si>
    <t>016/374</t>
  </si>
  <si>
    <t>016/376</t>
  </si>
  <si>
    <t>016/377</t>
  </si>
  <si>
    <t>016/378</t>
  </si>
  <si>
    <t>016/379</t>
  </si>
  <si>
    <t>016/380</t>
  </si>
  <si>
    <t>016/381</t>
  </si>
  <si>
    <t>KAPCI COATING  LATICO 5770 ( 100 : 100 )</t>
  </si>
  <si>
    <t>016/382</t>
  </si>
  <si>
    <t>016/383</t>
  </si>
  <si>
    <t>016/384</t>
  </si>
  <si>
    <t>016/385</t>
  </si>
  <si>
    <t>Koshala olive oil 500 ml</t>
  </si>
  <si>
    <t>016/386</t>
  </si>
  <si>
    <t>016/387</t>
  </si>
  <si>
    <t>016/388</t>
  </si>
  <si>
    <t>016/389</t>
  </si>
  <si>
    <t>016/390</t>
  </si>
  <si>
    <t>AUG front&amp;back new size</t>
  </si>
  <si>
    <t>016/391</t>
  </si>
  <si>
    <t>Saeed plastic</t>
  </si>
  <si>
    <t>016/392</t>
  </si>
  <si>
    <t>Tela tomato sauce 320 gm</t>
  </si>
  <si>
    <t>016/393</t>
  </si>
  <si>
    <t>Sudan fresca  front &amp; back</t>
  </si>
  <si>
    <t>016/394</t>
  </si>
  <si>
    <t>carstal 9 l Arabic&amp;English</t>
  </si>
  <si>
    <t>016/395</t>
  </si>
  <si>
    <t>016/396</t>
  </si>
  <si>
    <t>016/397</t>
  </si>
  <si>
    <t>016/398</t>
  </si>
  <si>
    <t>QURINA-NATURAL HONEY125 G</t>
  </si>
  <si>
    <t>016/399</t>
  </si>
  <si>
    <t>QURINA-NATURAL HONEY 1000 G</t>
  </si>
  <si>
    <t>016/400</t>
  </si>
  <si>
    <t>QURINA-NATURAL HONEY250 G F&amp;B</t>
  </si>
  <si>
    <t>016/401</t>
  </si>
  <si>
    <t>016/402</t>
  </si>
  <si>
    <t>016/403</t>
  </si>
  <si>
    <t xml:space="preserve">QURINA-EL BASHA - TOMATO PASTE </t>
  </si>
  <si>
    <t>016/404</t>
  </si>
  <si>
    <t>QURINA-HONEY 250 G</t>
  </si>
  <si>
    <t>016/405</t>
  </si>
  <si>
    <t>QURINA-NATURAL HONEY450 G F&amp;B</t>
  </si>
  <si>
    <t>016/406</t>
  </si>
  <si>
    <t>domanine wadi food  front &amp; back</t>
  </si>
  <si>
    <t>016/407</t>
  </si>
  <si>
    <t xml:space="preserve">QURINA-FRUITY JAM 350 GM </t>
  </si>
  <si>
    <t>016/408</t>
  </si>
  <si>
    <t xml:space="preserve">QURINA-JAM 28GM </t>
  </si>
  <si>
    <t>016/409</t>
  </si>
  <si>
    <t>QURINA-HONEY 450 G</t>
  </si>
  <si>
    <t>016/410</t>
  </si>
  <si>
    <t>016/411</t>
  </si>
  <si>
    <t>duber sample 100 ml</t>
  </si>
  <si>
    <t>016/412</t>
  </si>
  <si>
    <t>duber sample 200 ml</t>
  </si>
  <si>
    <t>016/413</t>
  </si>
  <si>
    <t>016/414</t>
  </si>
  <si>
    <t>016/415</t>
  </si>
  <si>
    <t>016/416</t>
  </si>
  <si>
    <t>Crystal 1.75 export Arabic&amp;English</t>
  </si>
  <si>
    <t>016/417</t>
  </si>
  <si>
    <t xml:space="preserve">perforation on gap </t>
  </si>
  <si>
    <t>016/418</t>
  </si>
  <si>
    <t>016/419</t>
  </si>
  <si>
    <t>016/420</t>
  </si>
  <si>
    <t>016/421</t>
  </si>
  <si>
    <t>016/422</t>
  </si>
  <si>
    <t>016/423</t>
  </si>
  <si>
    <t>CATAFLAM DROPS  15 ML (1.5 )</t>
  </si>
  <si>
    <t>016/424</t>
  </si>
  <si>
    <t>016/425</t>
  </si>
  <si>
    <t>016/426</t>
  </si>
  <si>
    <t>RADIUS 4 MM</t>
  </si>
  <si>
    <t>016/427</t>
  </si>
  <si>
    <t>016/428</t>
  </si>
  <si>
    <t>016/429</t>
  </si>
  <si>
    <t>016/430</t>
  </si>
  <si>
    <t xml:space="preserve"> SHIELD 5 lt back</t>
  </si>
  <si>
    <t>016/431</t>
  </si>
  <si>
    <t xml:space="preserve"> SHIELD 5 lt</t>
  </si>
  <si>
    <t>016/432</t>
  </si>
  <si>
    <t xml:space="preserve"> SHIELD4 lt front &amp; back</t>
  </si>
  <si>
    <t>016/433</t>
  </si>
  <si>
    <t>016/434</t>
  </si>
  <si>
    <t>AL YOUSF</t>
  </si>
  <si>
    <t>016/435</t>
  </si>
  <si>
    <t>016//436</t>
  </si>
  <si>
    <t>016/437</t>
  </si>
  <si>
    <t>016/438</t>
  </si>
  <si>
    <t>016/439</t>
  </si>
  <si>
    <t>016/440</t>
  </si>
  <si>
    <t>MARICO</t>
  </si>
  <si>
    <t>016/441</t>
  </si>
  <si>
    <t>OXI 750 G FRONT &amp; Back</t>
  </si>
  <si>
    <t>016/442</t>
  </si>
  <si>
    <t xml:space="preserve"> </t>
  </si>
  <si>
    <t>016/443</t>
  </si>
  <si>
    <t>016/444</t>
  </si>
  <si>
    <t>016/445</t>
  </si>
  <si>
    <t>016/446</t>
  </si>
  <si>
    <t>016/447</t>
  </si>
  <si>
    <t>016/448</t>
  </si>
  <si>
    <t>AUG 200GM</t>
  </si>
  <si>
    <t>016/449</t>
  </si>
  <si>
    <t>TELAL</t>
  </si>
  <si>
    <t>016/450</t>
  </si>
  <si>
    <t>WADI FOOD</t>
  </si>
  <si>
    <t>016/451</t>
  </si>
  <si>
    <t>016/452</t>
  </si>
  <si>
    <t>016/453</t>
  </si>
  <si>
    <t>EVA COSMETICS 70 M</t>
  </si>
  <si>
    <t>016/454</t>
  </si>
  <si>
    <t>016/455</t>
  </si>
  <si>
    <t>016/456</t>
  </si>
  <si>
    <t>016/457</t>
  </si>
  <si>
    <t>016/458</t>
  </si>
  <si>
    <t>016/459</t>
  </si>
  <si>
    <t>016/460</t>
  </si>
  <si>
    <t>EL RASHIDI EL MEZAN   500G</t>
  </si>
  <si>
    <t>016/461</t>
  </si>
  <si>
    <t>EL RASHIDI EL MEZAN   300G</t>
  </si>
  <si>
    <t>016/462</t>
  </si>
  <si>
    <t>016/463</t>
  </si>
  <si>
    <t>MISR PETROLUM  5  Lback</t>
  </si>
  <si>
    <t>016/464</t>
  </si>
  <si>
    <t xml:space="preserve">MISR PETROLUM  5  Lfront </t>
  </si>
  <si>
    <t>016/465</t>
  </si>
  <si>
    <t>Madar 400 ML</t>
  </si>
  <si>
    <t>016/466</t>
  </si>
  <si>
    <t>Madar 200 ML</t>
  </si>
  <si>
    <t>016/467</t>
  </si>
  <si>
    <t xml:space="preserve">TELAL 250 ML </t>
  </si>
  <si>
    <t>016/468</t>
  </si>
  <si>
    <t>TELAL 1LT</t>
  </si>
  <si>
    <t>016/469</t>
  </si>
  <si>
    <t xml:space="preserve">الاصيل     2.75 لتر </t>
  </si>
  <si>
    <t>016/470</t>
  </si>
  <si>
    <t>016/471</t>
  </si>
  <si>
    <t xml:space="preserve">AMRIZOLE INFUSION 500 MG / 100 ML  </t>
  </si>
  <si>
    <t>016/472</t>
  </si>
  <si>
    <t>016/473</t>
  </si>
  <si>
    <t xml:space="preserve">DORA LEMON 1 LT     FRONT  </t>
  </si>
  <si>
    <t>016/474</t>
  </si>
  <si>
    <t xml:space="preserve">DORA LEMON 1 LT     BACK  </t>
  </si>
  <si>
    <t>016/475</t>
  </si>
  <si>
    <t xml:space="preserve">TILMICOS 25 250 ML   ( ARABIC &amp; ENGLISH ) </t>
  </si>
  <si>
    <t>016/476</t>
  </si>
  <si>
    <t>016/477</t>
  </si>
  <si>
    <t>016/478</t>
  </si>
  <si>
    <t xml:space="preserve"> WADIFOOD      ALMOTAMYZ - 88 * 158 </t>
  </si>
  <si>
    <t>016/479</t>
  </si>
  <si>
    <t>DOT 4 - NOV 2016 ( FRONT + BACK ) MISR PETROLUM CO.</t>
  </si>
  <si>
    <t>016/480</t>
  </si>
  <si>
    <t>TAYBA - 6 FRESH EGGS             BAYAN ( GAAG CO. )</t>
  </si>
  <si>
    <t>016/481</t>
  </si>
  <si>
    <t>TAYBA -15 FRESH EGGS           BAYAN ( GAAG CO. )</t>
  </si>
  <si>
    <t>016/482</t>
  </si>
  <si>
    <t>MORF CHERRY 250 ML  EGPI CO.</t>
  </si>
  <si>
    <t>016/483</t>
  </si>
  <si>
    <t xml:space="preserve">EL BASHA - TOMATO PASTE 1350 GM </t>
  </si>
  <si>
    <t>016/484</t>
  </si>
  <si>
    <t>NOUNA STRAWBERRY JAM 900 GM  S2C FOOD</t>
  </si>
  <si>
    <t>016/485</t>
  </si>
  <si>
    <t>ABO HAWA  BLANK</t>
  </si>
  <si>
    <t>016/486</t>
  </si>
  <si>
    <t>GUAIFENESIN COUGH SYRUP 100 ML  MEDTECH ETHIOPOA . LTD CO.</t>
  </si>
  <si>
    <t>016/487</t>
  </si>
  <si>
    <t xml:space="preserve">VISCERALGINE 2 ML SEDICO </t>
  </si>
  <si>
    <t>016/488</t>
  </si>
  <si>
    <t>DAYUN - WHITE     ABO HAWA</t>
  </si>
  <si>
    <t>016/489</t>
  </si>
  <si>
    <t>ABO HAWA  RED &amp; GRAY</t>
  </si>
  <si>
    <t>016/490</t>
  </si>
  <si>
    <t>CLEAN - 530 ML ( رائحة الورد )CLEAN - 530 ML ( رائحة الفواكه )SUPER CLEAN T ALL 530 ML CLEAN - 530 ML ( رائحة اللافندر )       MY WAY</t>
  </si>
  <si>
    <t>016/491</t>
  </si>
  <si>
    <t xml:space="preserve"> NOVARTIS PHARMA S.A.E CO .                            ZADITEN - SYRUP 100 ML </t>
  </si>
  <si>
    <t>016/492</t>
  </si>
  <si>
    <t>WADIFOOD      GABRIELA GREEN OLIVES ( STUFFED ) 200 GM</t>
  </si>
  <si>
    <t>016/493</t>
  </si>
  <si>
    <t>ISIS ORGANIC    ORGANIC OLIVE OIL 250 ML ( FRONT + BACK )</t>
  </si>
  <si>
    <t>016/494</t>
  </si>
  <si>
    <t>ISIS ORGANIC    ORGANIC OLIVE OIL 500 ML ( FRONT + BACK )</t>
  </si>
  <si>
    <t>016/495</t>
  </si>
  <si>
    <t>ARMA FOR OIL INDUSTRIES   CRYSTAL SUNFLOWER 2 LT.</t>
  </si>
  <si>
    <t>016/496</t>
  </si>
  <si>
    <t>PHARMA TRADE CO.     YESHEMAK ACETONE - 140 ML بزيت اللوز (عرض خاص 150 مللى ب 11ج فقط لفترة محدودة )</t>
  </si>
  <si>
    <t>016/497</t>
  </si>
  <si>
    <t>ABO HAWA    WARNING</t>
  </si>
  <si>
    <t>016/498</t>
  </si>
  <si>
    <t>ABO HAWA    HALAWA - WHITE</t>
  </si>
  <si>
    <t>016/499</t>
  </si>
  <si>
    <t>ABO HAWA    SANA SILVER</t>
  </si>
  <si>
    <t>016/500</t>
  </si>
  <si>
    <t>WADIFOOD        APPLE VINEGAR 250 ML</t>
  </si>
  <si>
    <t>016/501</t>
  </si>
  <si>
    <t>WADIFOOD        ZATOUNA SLICED GREEN OLIVES 175 - 360 GM</t>
  </si>
  <si>
    <t>016/502</t>
  </si>
  <si>
    <t>SHIELD EGYPT    DIESEL ENGINE SAE API-CF - 5LT ( FRONT + BACK )</t>
  </si>
  <si>
    <t>016/503</t>
  </si>
  <si>
    <t>350 GM      ISIS ORGANIC     عسل حبة البركة  / شمع العسل/عسل حبوب اللقاح</t>
  </si>
  <si>
    <t>016/504</t>
  </si>
  <si>
    <t>ISIS ORGANIC  250 ML عسل نحل نقى</t>
  </si>
  <si>
    <t>016/505</t>
  </si>
  <si>
    <t>ISIS ORGANIC  900 GM عسل نحل نقى</t>
  </si>
  <si>
    <t>017/506</t>
  </si>
  <si>
    <t xml:space="preserve"> EPCI                      CECLOR 250 MG PER 5 ML 00186</t>
  </si>
  <si>
    <t>017/507</t>
  </si>
  <si>
    <t>ISIS ORGANIC -900 GM-350 GM-  200 GM -500 GM-1 KG</t>
  </si>
  <si>
    <t>017/508</t>
  </si>
  <si>
    <t>Afia 900 ML</t>
  </si>
  <si>
    <t>017/509</t>
  </si>
  <si>
    <t>YUMMY   BLACK  HONEY SMALL - BARCODE ( 622 4008 798 231 )</t>
  </si>
  <si>
    <t>017/510</t>
  </si>
  <si>
    <t>YUMMY MARJORAM  HONEY - BLUE-BLACK</t>
  </si>
  <si>
    <t>017/511</t>
  </si>
  <si>
    <t>YUMMY  MARJORAM HONEY - 1000 GM</t>
  </si>
  <si>
    <t>017/512</t>
  </si>
  <si>
    <t>EL RASHIDI EL MEZAN CO. 480 GM</t>
  </si>
  <si>
    <t>017/513</t>
  </si>
  <si>
    <t>PARACHUT- THICK - STRONG 100 ML - TRIAL</t>
  </si>
  <si>
    <t>017/514</t>
  </si>
  <si>
    <t>ISIS ORGANIC  750 ML ( FRONT &amp; BACK )  مصر</t>
  </si>
  <si>
    <t>017/515</t>
  </si>
  <si>
    <t>MEPHA CO.    NEURORUBINE</t>
  </si>
  <si>
    <t>017/516</t>
  </si>
  <si>
    <t xml:space="preserve">EL RASHIDI EL MEZAN CO.    QUICKIE 350 GM </t>
  </si>
  <si>
    <t>017/517</t>
  </si>
  <si>
    <t>EL RASHIDI EL MEZAN CO.    MOLASSES 400GM عسل أسود</t>
  </si>
  <si>
    <t>017/518</t>
  </si>
  <si>
    <t>HASCO  500 ML منظف الزجاج</t>
  </si>
  <si>
    <t>017/519</t>
  </si>
  <si>
    <t xml:space="preserve">QURINA  28 GM </t>
  </si>
  <si>
    <t>017/520</t>
  </si>
  <si>
    <t>HASCO   250 ML مطهر عام</t>
  </si>
  <si>
    <t>017/521</t>
  </si>
  <si>
    <t>HASCO  400 ML مطهر عام</t>
  </si>
  <si>
    <t>017/522</t>
  </si>
  <si>
    <t xml:space="preserve">HASCO 500 ML </t>
  </si>
  <si>
    <t>017/523</t>
  </si>
  <si>
    <t>HASCO 850 ML صابون سائل لغسيل الملابس</t>
  </si>
  <si>
    <t>017/524</t>
  </si>
  <si>
    <t>HASCO   DISHWASHING LIQUID 850 ML</t>
  </si>
  <si>
    <t>017/525</t>
  </si>
  <si>
    <t>HOLW EL SHAM</t>
  </si>
  <si>
    <t>017/526</t>
  </si>
  <si>
    <t>AL AIN LIBYA  6 LT.</t>
  </si>
  <si>
    <t>017/527</t>
  </si>
  <si>
    <t>ARMA 1 LT. ( FRONT + BACK )</t>
  </si>
  <si>
    <t>017/528</t>
  </si>
  <si>
    <t>ARMA  500 ML    ( FRONT + BACK )</t>
  </si>
  <si>
    <t>017/529</t>
  </si>
  <si>
    <t xml:space="preserve"> ADCO VELVETA   1 KG</t>
  </si>
  <si>
    <t>017/530</t>
  </si>
  <si>
    <t xml:space="preserve"> WADIFOOD PITTED GREEN OLIVES 355 - 650 GM</t>
  </si>
  <si>
    <t>017/531</t>
  </si>
  <si>
    <t xml:space="preserve"> EL REDA FOODS   TAHIN - 400 G</t>
  </si>
  <si>
    <t>017/532</t>
  </si>
  <si>
    <t>AFIA OLIVE OIL 500 ML (BLANK)</t>
  </si>
  <si>
    <t>017/533</t>
  </si>
  <si>
    <t>QURINA</t>
  </si>
  <si>
    <t>017/534</t>
  </si>
  <si>
    <t>DY - 150 - 6 ABO HAWA</t>
  </si>
  <si>
    <t>017/535</t>
  </si>
  <si>
    <t xml:space="preserve">STERILE WATER FOR LNJECTION SEDICO </t>
  </si>
  <si>
    <t>017/536</t>
  </si>
  <si>
    <t>SAFETY LABEL SERVIER PHARMA</t>
  </si>
  <si>
    <t>017/537</t>
  </si>
  <si>
    <t xml:space="preserve"> 950 ML ( FRONT + BACK ) MY WAY</t>
  </si>
  <si>
    <t>017/538</t>
  </si>
  <si>
    <t xml:space="preserve"> 340 * 78 ABO HAWA</t>
  </si>
  <si>
    <t>017/539</t>
  </si>
  <si>
    <t>MISR PETROLUM 1.4 ( FRONT + BACK )</t>
  </si>
  <si>
    <t>017/540</t>
  </si>
  <si>
    <t>HALWANI BROS CO. 380 GM</t>
  </si>
  <si>
    <t>017/541</t>
  </si>
  <si>
    <t>017/542</t>
  </si>
  <si>
    <t>EIPICO أبيستجمين 0.25 مجمك فيال 5 مل</t>
  </si>
  <si>
    <t>017/543</t>
  </si>
  <si>
    <t>SAMSUNG CO.  ENERGY LABEL  Cut On Label Front</t>
  </si>
  <si>
    <t>SAMSUNG CO.  ENERGY LABEL  Cut On Liner Label Back</t>
  </si>
  <si>
    <t>017/544</t>
  </si>
  <si>
    <t>كريستال زيت عباد الشمس 3 لتر -  EF</t>
  </si>
  <si>
    <t>017/545</t>
  </si>
  <si>
    <t>أوكسى  ليمون أصفر   أخضر 2.5 كجم</t>
  </si>
  <si>
    <t>017/546</t>
  </si>
  <si>
    <t xml:space="preserve">PETRO COOL 5 LT. BACK </t>
  </si>
  <si>
    <t>017/547</t>
  </si>
  <si>
    <t>BLANK ( BN68-05722A) SAMSUNG CO.</t>
  </si>
  <si>
    <t>017/548</t>
  </si>
  <si>
    <t>FRONT &amp; BACK 250  شركة مناحل أم القرى</t>
  </si>
  <si>
    <t>017/549</t>
  </si>
  <si>
    <t>017/550</t>
  </si>
  <si>
    <t>EL RASHIDI EL MEZAN CO. 340 جم</t>
  </si>
  <si>
    <t>017/551</t>
  </si>
  <si>
    <t>ARMA FOR FOODS CO. زبدة 200 جم FRONT</t>
  </si>
  <si>
    <t>017/552</t>
  </si>
  <si>
    <t xml:space="preserve"> ARMA FOR FOODS CO.زبدة 200 جم  BACK</t>
  </si>
  <si>
    <t>017/553</t>
  </si>
  <si>
    <t>DALY WATER - 19 LT. ONE WAY</t>
  </si>
  <si>
    <t>017/554</t>
  </si>
  <si>
    <t>AHSAN    ( AHSAN FRUITS &amp; VEGETABLES )</t>
  </si>
  <si>
    <t>017/555</t>
  </si>
  <si>
    <t>power</t>
  </si>
  <si>
    <t>017/556</t>
  </si>
  <si>
    <t xml:space="preserve"> MADAR  ( 6+58 حفاضات جيم جام )</t>
  </si>
  <si>
    <t>017/557</t>
  </si>
  <si>
    <t xml:space="preserve"> MY WAY BALSAM 400 ML</t>
  </si>
  <si>
    <t>017/558</t>
  </si>
  <si>
    <t>KEMPETRO 350 ML</t>
  </si>
  <si>
    <t>017/559</t>
  </si>
  <si>
    <t xml:space="preserve"> MY WAY MY OLIVE OIL 55 ML </t>
  </si>
  <si>
    <t>017/560</t>
  </si>
  <si>
    <t>أبو سيفين مربى 160 جم</t>
  </si>
  <si>
    <t>017/561</t>
  </si>
  <si>
    <t>أبو سيفين مربى 440 جم</t>
  </si>
  <si>
    <t>017/562</t>
  </si>
  <si>
    <t>أبو سيفين خل أبيض نصف لتر</t>
  </si>
  <si>
    <t>017/563</t>
  </si>
  <si>
    <t>أبو سيفين خل أبيض 1 لتر</t>
  </si>
  <si>
    <t>017/564</t>
  </si>
  <si>
    <t>أبو سيفين مربى 1200 جم</t>
  </si>
  <si>
    <t>017/565</t>
  </si>
  <si>
    <t>أبو سيفين مربى قرع عسل 900 جم</t>
  </si>
  <si>
    <t>017/566</t>
  </si>
  <si>
    <t>BLANK CIRCLE أبو سيفين</t>
  </si>
  <si>
    <t>017/567</t>
  </si>
  <si>
    <t>1.6 L PAN AFRICAN</t>
  </si>
  <si>
    <t>017/568</t>
  </si>
  <si>
    <t>COLROX CLOTHES 500 ML</t>
  </si>
  <si>
    <t>017/569</t>
  </si>
  <si>
    <t>MAMOUN EL BERIER CO ( تصدير )  380 ML</t>
  </si>
  <si>
    <t>017/570</t>
  </si>
  <si>
    <t xml:space="preserve">MAMOUN EL BERIER CO ( تصدير ) 330 ML </t>
  </si>
  <si>
    <t>017/571</t>
  </si>
  <si>
    <t xml:space="preserve">ABO SAIFAUN SUDAN ( تصدير )   شعير طبيعى 300 جم  </t>
  </si>
  <si>
    <t>017/572</t>
  </si>
  <si>
    <t>AQUAFINA 18.9 LT. PEPSI</t>
  </si>
  <si>
    <t>017/573</t>
  </si>
  <si>
    <t>MISR PETROLUM CO.    550 ML ( FRONT + BACK )</t>
  </si>
  <si>
    <t>017/574</t>
  </si>
  <si>
    <t>500 ML   MY WAY</t>
  </si>
  <si>
    <t>017/575</t>
  </si>
  <si>
    <t>ABO HAWA</t>
  </si>
  <si>
    <t>017/576</t>
  </si>
  <si>
    <t>SCIENTIC OFFICE COSMETICS  250 ML</t>
  </si>
  <si>
    <t>017/577</t>
  </si>
  <si>
    <t>SCIENTIC OFFICE COSMETICS  120 ML</t>
  </si>
  <si>
    <t>017/578</t>
  </si>
  <si>
    <t>017/579</t>
  </si>
  <si>
    <t>AUG   security Lipple</t>
  </si>
  <si>
    <t>017/580</t>
  </si>
  <si>
    <t>2H CO.      150 ML - ( FRONT )</t>
  </si>
  <si>
    <t>017/581</t>
  </si>
  <si>
    <t>017/582</t>
  </si>
  <si>
    <t>EL RASHIDI EL MEZAN CO. 400 جم</t>
  </si>
  <si>
    <t>017/583</t>
  </si>
  <si>
    <t>WADIFOOD   200 - 360 KM</t>
  </si>
  <si>
    <t>017/584</t>
  </si>
  <si>
    <t>WADIFOOD   2.25 - 3.78 KG</t>
  </si>
  <si>
    <t>017/585</t>
  </si>
  <si>
    <t xml:space="preserve">SAMSUNG CO. blank </t>
  </si>
  <si>
    <t>017/586</t>
  </si>
  <si>
    <t xml:space="preserve">MIBCO/DARWISH SONS </t>
  </si>
  <si>
    <t>017/587</t>
  </si>
  <si>
    <t>VATIKA OIL 50  ML BLANK</t>
  </si>
  <si>
    <t>017/588</t>
  </si>
  <si>
    <t>FUCHS SUDAN   15 W - 40 4 LT ( FRONT &amp; BACK )</t>
  </si>
  <si>
    <t>017/589</t>
  </si>
  <si>
    <t>EIPICO 20 مجم</t>
  </si>
  <si>
    <t>017/590</t>
  </si>
  <si>
    <t>MY WAY 500 ML</t>
  </si>
  <si>
    <t>017/591</t>
  </si>
  <si>
    <t>MY WAY 1200 GM</t>
  </si>
  <si>
    <t>017/592</t>
  </si>
  <si>
    <t>017/593</t>
  </si>
  <si>
    <t>NEGEMT E; ZEITOUN CO. 500 ML</t>
  </si>
  <si>
    <t>017/594</t>
  </si>
  <si>
    <t>SHIELD 20 W50 API CF SF  20 LT</t>
  </si>
  <si>
    <t>017/595</t>
  </si>
  <si>
    <t>CHI BIOSILK CO.  355 ML</t>
  </si>
  <si>
    <t>017/596</t>
  </si>
  <si>
    <t>017/597</t>
  </si>
  <si>
    <t>CHI BIOSILK CO.  946 ML</t>
  </si>
  <si>
    <t>017/598</t>
  </si>
  <si>
    <t>ARMA  JOY LHS 500 ML. - GREEN ( FRONT + BACK )</t>
  </si>
  <si>
    <t>017/599</t>
  </si>
  <si>
    <t>ARMA  JOY LHS 750 ML. - GREEN ( FRONT + BACK )</t>
  </si>
  <si>
    <t>017/600</t>
  </si>
  <si>
    <t>ARMA  JOY LHS 1 LT. - GREEN  ( FRONT + BACK )</t>
  </si>
  <si>
    <t>017/601</t>
  </si>
  <si>
    <t>DABUR VATIKA OILVE OIL 100 ML ( زيادة 10 مل مجانا )</t>
  </si>
  <si>
    <t>017/602</t>
  </si>
  <si>
    <t>EL RASHIDI EL MEZAN CO.  HONY BODY LABEL BLANK</t>
  </si>
  <si>
    <t>017/603</t>
  </si>
  <si>
    <t>EL RASHIDI EL MEZAN CO.  HONY SAFTY LABEL BLANK</t>
  </si>
  <si>
    <t>017/604</t>
  </si>
  <si>
    <t>ADCO  VELVETA OCEAN MIST 4 KG</t>
  </si>
  <si>
    <t>017/605</t>
  </si>
  <si>
    <t xml:space="preserve"> ETHIOPIAN   60 ML</t>
  </si>
  <si>
    <t>017/606</t>
  </si>
  <si>
    <t xml:space="preserve"> ETHIOPIAN  20 MG / 2 ML</t>
  </si>
  <si>
    <t>017/607</t>
  </si>
  <si>
    <t xml:space="preserve"> ETHIOPIAN  5 ML</t>
  </si>
  <si>
    <t>017/608</t>
  </si>
  <si>
    <t>HAYAH 200 ML</t>
  </si>
  <si>
    <t>017/609</t>
  </si>
  <si>
    <t>2H CO.    385 ML</t>
  </si>
  <si>
    <t>017/610</t>
  </si>
  <si>
    <t>MISR PETROLUM CO.     470 GM</t>
  </si>
  <si>
    <t>017/611</t>
  </si>
  <si>
    <t>DETTOL  900 ML</t>
  </si>
  <si>
    <t>017/612</t>
  </si>
  <si>
    <t>ABO HAWA  BLACK LABEL   BACK</t>
  </si>
  <si>
    <t>017/613</t>
  </si>
  <si>
    <t xml:space="preserve">ABO HAWA  BLACK LABEL FRONT  </t>
  </si>
  <si>
    <t>017/614</t>
  </si>
  <si>
    <t>PHARCO  1.5 GM</t>
  </si>
  <si>
    <t>017/615</t>
  </si>
  <si>
    <t>PETRO LUBES 4L FROMT</t>
  </si>
  <si>
    <t>017/616</t>
  </si>
  <si>
    <t>ABO HAWA    RED - GOLD - 2 SIDES</t>
  </si>
  <si>
    <t>017/617</t>
  </si>
  <si>
    <t>ABO HAWA   RED - GREY - 2 SIDES</t>
  </si>
  <si>
    <t>017/618</t>
  </si>
  <si>
    <t>WADIFOOD     500 مللى</t>
  </si>
  <si>
    <t>017/619</t>
  </si>
  <si>
    <t>WADIFOOD    250 مل</t>
  </si>
  <si>
    <t>017/620</t>
  </si>
  <si>
    <t>WADIFOOD    1 لتر</t>
  </si>
  <si>
    <t>017/621</t>
  </si>
  <si>
    <t>WADIFOOD    2 لتر</t>
  </si>
  <si>
    <t>017/622</t>
  </si>
  <si>
    <t>WADIFOOD    195 جم</t>
  </si>
  <si>
    <t>017/623</t>
  </si>
  <si>
    <t xml:space="preserve">WADIFOOD   ربع لتر </t>
  </si>
  <si>
    <t>017/624</t>
  </si>
  <si>
    <t xml:space="preserve">WADIFOOD   500 لتر </t>
  </si>
  <si>
    <t>017/625</t>
  </si>
  <si>
    <t>WADIFOOD   370 جم</t>
  </si>
  <si>
    <t>017/626</t>
  </si>
  <si>
    <t>WADIFOOD   325 جم</t>
  </si>
  <si>
    <t>017/627</t>
  </si>
  <si>
    <t xml:space="preserve"> خل ابيض 900 مللى   النجمة للصناعات الغذائية</t>
  </si>
  <si>
    <t>017/628</t>
  </si>
  <si>
    <t>DABUR EGYPT CO.     400 ML ( FRONT + BACK )</t>
  </si>
  <si>
    <t>017/629</t>
  </si>
  <si>
    <t>MY WAY    (1200 ML سهر الليالى )    ( ML1750  عبير الزهور البرية  )</t>
  </si>
  <si>
    <t>017/630</t>
  </si>
  <si>
    <t>CREAMITA WARP LABEL 1 KG</t>
  </si>
  <si>
    <t>017/631</t>
  </si>
  <si>
    <t>CREAMITA TOP LABEL</t>
  </si>
  <si>
    <t>017/632</t>
  </si>
  <si>
    <t>SERVIER - CIRCLE SAFETY</t>
  </si>
  <si>
    <t>017/633</t>
  </si>
  <si>
    <t>WADIFOOD  400 GM</t>
  </si>
  <si>
    <t>017/634</t>
  </si>
  <si>
    <t>SMARTTECH  BLANK 30 * 86 MM</t>
  </si>
  <si>
    <t>017/635</t>
  </si>
  <si>
    <t>HALAWA TAHINIA 2 KG</t>
  </si>
  <si>
    <t>017/636</t>
  </si>
  <si>
    <t>ROYAL COSMETICS ONLY 10 LE</t>
  </si>
  <si>
    <t>017/637</t>
  </si>
  <si>
    <t>HALAWA TAHINIA4 KG</t>
  </si>
  <si>
    <t>017/638</t>
  </si>
  <si>
    <t xml:space="preserve">AFIA CORN OIL 800 ML </t>
  </si>
  <si>
    <t>017/639</t>
  </si>
  <si>
    <t xml:space="preserve">NECK CORN OIL 800 ML ( جدد قلبك على صفحتنا ) </t>
  </si>
  <si>
    <t>017/640</t>
  </si>
  <si>
    <t xml:space="preserve">AFIA SUNFLOWER OIL 2400 ML </t>
  </si>
  <si>
    <t>017/641</t>
  </si>
  <si>
    <t xml:space="preserve">PHARCO  CLAVIMOX 457 MG  </t>
  </si>
  <si>
    <t>017/642</t>
  </si>
  <si>
    <t xml:space="preserve"> VATIKA OLIVE HAIR OIL - 50 ML</t>
  </si>
  <si>
    <t>017/643</t>
  </si>
  <si>
    <t>FR LAB ULTADOUX SHAMPOO 200 ML</t>
  </si>
  <si>
    <t>017/644</t>
  </si>
  <si>
    <t>SPEED - 125ML</t>
  </si>
  <si>
    <t>017/645</t>
  </si>
  <si>
    <t>SLITE 750 ML ARABIC &amp; ENGLISH</t>
  </si>
  <si>
    <t>017/646</t>
  </si>
  <si>
    <t>AFIA CORN OIL 1600 ML جدد قلبك علي صفحتنا</t>
  </si>
  <si>
    <t>017/647</t>
  </si>
  <si>
    <t>SLITE 1.5 LT. ARABIC &amp; ENGLISH</t>
  </si>
  <si>
    <t>017/648</t>
  </si>
  <si>
    <t>CLEOPATRA LONG &amp; STRONG HAIR SHAMPOO - 200 ML ( FRONT &amp; BACK )</t>
  </si>
  <si>
    <t>017/649</t>
  </si>
  <si>
    <t>ADOL SYRUP 60 ML</t>
  </si>
  <si>
    <t>017/650</t>
  </si>
  <si>
    <t>HJISO - 3 A</t>
  </si>
  <si>
    <t>017/651</t>
  </si>
  <si>
    <t>BRIGHT X GEL - 2 LT. ( FRONT &amp; BACK )</t>
  </si>
  <si>
    <t>017/652</t>
  </si>
  <si>
    <t>MAXELL MAGIC CRYSTAL ROSE 700 ML ( FRONT )</t>
  </si>
  <si>
    <t>017/653</t>
  </si>
  <si>
    <t>PUVANA 19 LT.</t>
  </si>
  <si>
    <t>017/654</t>
  </si>
  <si>
    <t xml:space="preserve">BLENDS SHAMPOO 700 ML - ARGAN OIL </t>
  </si>
  <si>
    <t>017/655</t>
  </si>
  <si>
    <t>PERTAIA KETCHUP_HOT 55GR</t>
  </si>
  <si>
    <t>017/656</t>
  </si>
  <si>
    <t>BLANK VATIKA 90 ML</t>
  </si>
  <si>
    <t>017/657</t>
  </si>
  <si>
    <t>BLANK VATIKA 45 ML</t>
  </si>
  <si>
    <t>017/658</t>
  </si>
  <si>
    <t>NASYDCO - ARB</t>
  </si>
  <si>
    <t>017/659</t>
  </si>
  <si>
    <t>NI3MAH SUNFLOWER  OIL 1 LT</t>
  </si>
  <si>
    <t>017/660</t>
  </si>
  <si>
    <t>NI3MAH SUNFLOWER  OIL 4.5 LT</t>
  </si>
  <si>
    <t>017/661</t>
  </si>
  <si>
    <t>ALFEX  OIL SUPER OIL  10 W40 SJ 4 LT ( FRONT &amp; BACK )</t>
  </si>
  <si>
    <t>017/662</t>
  </si>
  <si>
    <t>ALFEX MOTOR OIL 40 SJ LT ( FRONT &amp; BACK )</t>
  </si>
  <si>
    <t>017/663</t>
  </si>
  <si>
    <t>ALFEX MOTOR OIL 40 SJ 4 1 LT ( FRONT &amp; BACK )</t>
  </si>
  <si>
    <t>017/664</t>
  </si>
  <si>
    <t>ALFEX  OIL SUPER OIL  20 W 50 SJ 1 LT ( FRONT &amp; BACK )</t>
  </si>
  <si>
    <t>017/665</t>
  </si>
  <si>
    <t>RAMEDAMYCIN PLUS - 5 ML 350455</t>
  </si>
  <si>
    <t>018/666</t>
  </si>
  <si>
    <t>RABAH  SUNFLOWER OIL 1 LT</t>
  </si>
  <si>
    <t>018/667</t>
  </si>
  <si>
    <t>VATIKA HAIR OIL 180 ML</t>
  </si>
  <si>
    <t>018/668</t>
  </si>
  <si>
    <t xml:space="preserve">FRIDAL FRAGRAMCE BUBBLES 1 KG </t>
  </si>
  <si>
    <t>018/669</t>
  </si>
  <si>
    <t>GIARDINO KETCHUP 320 GM (FRONT &amp; BACK )</t>
  </si>
  <si>
    <t>018/670</t>
  </si>
  <si>
    <t>AFIA CORN OIL 2400 ML ( NEW ) SIZE ) (  جدد قلبك على صفحتنا )</t>
  </si>
  <si>
    <t>018/671</t>
  </si>
  <si>
    <t>استيكرز حلاوة 1.150 كجم مطبوع الرشيدى جانبى</t>
  </si>
  <si>
    <t>018/672</t>
  </si>
  <si>
    <t xml:space="preserve">SERUM FRONT </t>
  </si>
  <si>
    <t>018/673</t>
  </si>
  <si>
    <t>SERUM BACK</t>
  </si>
  <si>
    <t>018/674</t>
  </si>
  <si>
    <t>PERTAIA KETCHUP SWEET 250 GM</t>
  </si>
  <si>
    <t>018/675</t>
  </si>
  <si>
    <t>تين السعيد 350 جم</t>
  </si>
  <si>
    <t>018/676</t>
  </si>
  <si>
    <t>BLENDS SHAMPOO 400 ML - SHEA BUTTER</t>
  </si>
  <si>
    <t>018/677</t>
  </si>
  <si>
    <t>BLENDS CONDITIONER 400 ML - COLLAGEN</t>
  </si>
  <si>
    <t>018/678</t>
  </si>
  <si>
    <t>BLENDS HAIR MASK 400 ML - SHEA BUTTER</t>
  </si>
  <si>
    <t>018/679</t>
  </si>
  <si>
    <t>BLENDS HAIR MASK 700 ML - ARGAN OIL</t>
  </si>
  <si>
    <t>018/680</t>
  </si>
  <si>
    <t>( ENGLISH ) ستيكر الدار عباد 18 كجم</t>
  </si>
  <si>
    <t>018/681</t>
  </si>
  <si>
    <t>RED - BLUE - BLACK SECOND SIDE</t>
  </si>
  <si>
    <t>018/682</t>
  </si>
  <si>
    <t>RED - BLUE - BLACK FIRST SIDE</t>
  </si>
  <si>
    <t>018/683</t>
  </si>
  <si>
    <t>PUVANA 8 LT</t>
  </si>
  <si>
    <t>018/684</t>
  </si>
  <si>
    <t>PUVANA19 LT</t>
  </si>
  <si>
    <t>018/685</t>
  </si>
  <si>
    <t>استيكرعباد كرستال 200 ملي - اسبري</t>
  </si>
  <si>
    <t>018/686</t>
  </si>
  <si>
    <t>018/687</t>
  </si>
  <si>
    <t xml:space="preserve">JM ALOE VERA - 200 ML </t>
  </si>
  <si>
    <t>018/688</t>
  </si>
  <si>
    <t>NECK CORN OIL 2400 ML ( جدد قلبك )</t>
  </si>
  <si>
    <t>018/689</t>
  </si>
  <si>
    <t>SILVY ( LEMON &amp; FINGER ) 4 KG - FRONT</t>
  </si>
  <si>
    <t>018/690</t>
  </si>
  <si>
    <t>فيدروب 15 مل نقط للفم</t>
  </si>
  <si>
    <t>018/691</t>
  </si>
  <si>
    <t>JUSHI EGYPT</t>
  </si>
  <si>
    <t>018/692</t>
  </si>
  <si>
    <t>TOKTOK - SAE50-1.5L ( FRONT + BACK )</t>
  </si>
  <si>
    <t>018/693</t>
  </si>
  <si>
    <t>GROWFAST HAIR OIL - 100 ML   ( FRONT + BACK )</t>
  </si>
  <si>
    <t>018/694</t>
  </si>
  <si>
    <t>SERUM FRONT</t>
  </si>
  <si>
    <t>018/695</t>
  </si>
  <si>
    <t xml:space="preserve">تكت شامبو أمامى + خلفى 24 مل / تكت شاور جل أمامى + خلفى 24 مل </t>
  </si>
  <si>
    <t>018/696</t>
  </si>
  <si>
    <t>استكرز عسل اسود 380 جم جورميه</t>
  </si>
  <si>
    <t>018/697</t>
  </si>
  <si>
    <t>MISR GUARD - 5 L</t>
  </si>
  <si>
    <t>018/698</t>
  </si>
  <si>
    <t xml:space="preserve">SHOWER GEL - JUMBOO MOOD 2000 ML سهر اليالى </t>
  </si>
  <si>
    <t>018/699</t>
  </si>
  <si>
    <t>LEXIN 125  -250 MG - 5 ML</t>
  </si>
  <si>
    <t>018/700</t>
  </si>
  <si>
    <t>TENA SUNFLOWER OIL 1 LT</t>
  </si>
  <si>
    <t>018/701</t>
  </si>
  <si>
    <t xml:space="preserve">BREAK FLUID 250 G - FRONT </t>
  </si>
  <si>
    <t>018/702</t>
  </si>
  <si>
    <t>BREAK FLUID 250 G - BACK</t>
  </si>
  <si>
    <t>018/703</t>
  </si>
  <si>
    <t>TBATTY SHAMPOO 180 ML</t>
  </si>
  <si>
    <t>018/704</t>
  </si>
  <si>
    <t>PROTFIX 40 MG</t>
  </si>
  <si>
    <t>018/705</t>
  </si>
  <si>
    <t>بركس منظف الارضيات ليمون أصفر 730 ملى</t>
  </si>
  <si>
    <t>018/706</t>
  </si>
  <si>
    <t>بركس منظف الحمامات أزرق 500 ملى</t>
  </si>
  <si>
    <t>018/707</t>
  </si>
  <si>
    <t>بركس منظف الزجاج زهور 500 ملى</t>
  </si>
  <si>
    <t>018/708</t>
  </si>
  <si>
    <t>ريفولى شاور جل روز 3.3 لتر - أمامى</t>
  </si>
  <si>
    <t>018/709</t>
  </si>
  <si>
    <t>بركس منظف الزجاج ليمون أصفر 500 ملى</t>
  </si>
  <si>
    <t>018/710</t>
  </si>
  <si>
    <t>كريستال عباد الشمس 2.4 لتر ( أمامى &amp; خلفى )</t>
  </si>
  <si>
    <t>018/711</t>
  </si>
  <si>
    <t>كريستال ذرة 1.6 لتر ( أمامى &amp; خلفى )</t>
  </si>
  <si>
    <t>018/712</t>
  </si>
  <si>
    <t>HAIR DENCE SPRAY 120 ML</t>
  </si>
  <si>
    <t>018/713</t>
  </si>
  <si>
    <t>MY WAY SHOWER GEL - JAMBOO 1500 ML عبير الزهور البرية</t>
  </si>
  <si>
    <t>018/714</t>
  </si>
  <si>
    <t>DERMA WHITE-FACIAL WSH 200 GM</t>
  </si>
  <si>
    <t>018/715</t>
  </si>
  <si>
    <t>2H TRADING CO.  300 ML ( FRONT + BACK )</t>
  </si>
  <si>
    <t>018/716</t>
  </si>
  <si>
    <t>DOMTY CHEESE LOW SALT  ( TOP )</t>
  </si>
  <si>
    <t>018/717</t>
  </si>
  <si>
    <t>DOMTY CHEESE LOW SALT 400 GM ( ARABIC &amp; ENGLISH )</t>
  </si>
  <si>
    <t>018/718</t>
  </si>
  <si>
    <t xml:space="preserve"> (شركة خدمات التعبئة ) SHINY FLOOR  CLEANER 2 LT  FRONT LABEL</t>
  </si>
  <si>
    <t>018/719</t>
  </si>
  <si>
    <t xml:space="preserve"> (شركة خدمات التعبئة ) SHINY KITCHEN  CLEANER FRONT + BACK LABEL</t>
  </si>
  <si>
    <t>018/720</t>
  </si>
  <si>
    <t xml:space="preserve"> (WADIFOOD )  CHERRY TOMATOES 250 GM</t>
  </si>
  <si>
    <t>018/721</t>
  </si>
  <si>
    <t xml:space="preserve"> (HERO TRADE ) FRONT 500 ML</t>
  </si>
  <si>
    <t>018/722</t>
  </si>
  <si>
    <t>MISROL - 750 GR ( FRONT )</t>
  </si>
  <si>
    <t>018/723</t>
  </si>
  <si>
    <t>MISROL - 750 GR ( BACK )</t>
  </si>
  <si>
    <t>018/724</t>
  </si>
  <si>
    <t>SERF GM - 600 GR ( FRONT + BACK )</t>
  </si>
  <si>
    <t>018/725</t>
  </si>
  <si>
    <t>018/726</t>
  </si>
  <si>
    <t xml:space="preserve">كريستال ذرة  2.4 لتر ( أمامى &amp; خلفى ) </t>
  </si>
  <si>
    <t>018/727</t>
  </si>
  <si>
    <t>DOMTY RED LOGO</t>
  </si>
  <si>
    <t>018/728</t>
  </si>
  <si>
    <t xml:space="preserve"> (LIFE CARE COSMETICS  )  HAIR DENCE SHAMPOO &amp; HAIR GEL &amp; VIRATURN TONER  220 ML</t>
  </si>
  <si>
    <t>018/729</t>
  </si>
  <si>
    <t>تكت هاند جل د / فاى 50 مل أمامى شفاف</t>
  </si>
  <si>
    <t>018/730</t>
  </si>
  <si>
    <t xml:space="preserve"> SHINY VETTOL   ( FRONT + BACK )   شركة خدمات التعبئة  </t>
  </si>
  <si>
    <t>018/731</t>
  </si>
  <si>
    <t>018/732</t>
  </si>
  <si>
    <t>PERMIUM FOR ADVANCED IND  FORMULA 5000 4 L</t>
  </si>
  <si>
    <t>018/733</t>
  </si>
  <si>
    <t>PERMIUM FOR ADVANCED IND  FORMULA 3000 1 L</t>
  </si>
  <si>
    <t>018/734</t>
  </si>
  <si>
    <t>كريستال 2.4 لتر عنق</t>
  </si>
  <si>
    <t>018/735</t>
  </si>
  <si>
    <t>الاصيل عباد 1.5 لتر  ( أمامى &amp; خلفى )</t>
  </si>
  <si>
    <t>018/736</t>
  </si>
  <si>
    <t>الاصيل عباد 2.25 لتر  ( أمامى &amp; خلفى )</t>
  </si>
  <si>
    <t>018/737</t>
  </si>
  <si>
    <t>الاصيل عباد 1.5 لتر عنق</t>
  </si>
  <si>
    <t>018/738</t>
  </si>
  <si>
    <t>الاصيل عباد 2.25 لتر عنق</t>
  </si>
  <si>
    <t>018/739</t>
  </si>
  <si>
    <t>كريستال 1.6 لتر</t>
  </si>
  <si>
    <t>018/740</t>
  </si>
  <si>
    <t>تكت جل أمامى + خلفى 30 مللى THISWORKS</t>
  </si>
  <si>
    <t>018/741</t>
  </si>
  <si>
    <t>BARCODE</t>
  </si>
  <si>
    <t>018/742</t>
  </si>
  <si>
    <t xml:space="preserve">SHINY POWER   GEL FRONT </t>
  </si>
  <si>
    <t>018/743</t>
  </si>
  <si>
    <t>WHITE SOFT CHEESE VEGETABLE FATS ( TOP )</t>
  </si>
  <si>
    <t>018/744</t>
  </si>
  <si>
    <t>WHITE SOFT CHEESE VEGETABLE FATS ( ARABIC &amp; ENGLISH )</t>
  </si>
  <si>
    <t>018/745</t>
  </si>
  <si>
    <t>FRESH AIR PEACH</t>
  </si>
  <si>
    <t>018/746</t>
  </si>
  <si>
    <t xml:space="preserve">سايمثيكون مستحلب 30 ملى خط جديد </t>
  </si>
  <si>
    <t>018/747</t>
  </si>
  <si>
    <t>SPARKLE 400 ML GREASY HAIR (BACK)</t>
  </si>
  <si>
    <t>018/748</t>
  </si>
  <si>
    <t>QUICK GEL 4.5 KG</t>
  </si>
  <si>
    <t>018/749</t>
  </si>
  <si>
    <t>AFIA CORN OIL 900 ML FRONT ( NEW SIZE )</t>
  </si>
  <si>
    <t>018/750</t>
  </si>
  <si>
    <t>MAMIBA CO. 30 ml</t>
  </si>
  <si>
    <t>018/751</t>
  </si>
  <si>
    <t>NOBIL 0.7 - 2 B</t>
  </si>
  <si>
    <t>018/752</t>
  </si>
  <si>
    <t>DOTTOL MAC 4 MAC PINE 1.8 L ( FRONT + BACK )</t>
  </si>
  <si>
    <t>018/753</t>
  </si>
  <si>
    <t>BLANK 184 * 512</t>
  </si>
  <si>
    <t>018/754</t>
  </si>
  <si>
    <t xml:space="preserve">CMG EAGLE </t>
  </si>
  <si>
    <t>018/755</t>
  </si>
  <si>
    <t>PRIMA ( BLUE )</t>
  </si>
  <si>
    <t>018/756</t>
  </si>
  <si>
    <t>DIE CUTTER 650 ML ( ROYAL COSMETICS )</t>
  </si>
  <si>
    <t>018/757</t>
  </si>
  <si>
    <t>ISO HAND GEL 300 ML</t>
  </si>
  <si>
    <t>018/758</t>
  </si>
  <si>
    <t>018/759</t>
  </si>
  <si>
    <t>BEST CLAIM 5 % WG 60 GM</t>
  </si>
  <si>
    <t>018/760</t>
  </si>
  <si>
    <t>DOCTOR BEE ( CIRCLE )</t>
  </si>
  <si>
    <t>018/761</t>
  </si>
  <si>
    <t>PS 100 LRRADIATION ( TRIAL ) AMDUL.096.06</t>
  </si>
  <si>
    <t>018/762</t>
  </si>
  <si>
    <t>أمامى - DWL - أوكسى ليمون أخضر 250 جم</t>
  </si>
  <si>
    <t>018/763</t>
  </si>
  <si>
    <t>خلفى - DWL - أوكسى ليمون   250 جم</t>
  </si>
  <si>
    <t>018/764</t>
  </si>
  <si>
    <t>POWER TOILET CLEANER PEACH 530 ML FRONT</t>
  </si>
  <si>
    <t>018/765</t>
  </si>
  <si>
    <t>POWER TOILET CLEANER PEACH 530 ML BACK</t>
  </si>
  <si>
    <t>018/766</t>
  </si>
  <si>
    <t>BCK LAB  UD COND 200 ML ARGAN CRANBERRY FRAR   3612620971096</t>
  </si>
  <si>
    <t>018/767</t>
  </si>
  <si>
    <t xml:space="preserve">تكت شامبو &amp; شاور جل اكوا دى بورتوفينو 60 مل </t>
  </si>
  <si>
    <t>018/768</t>
  </si>
  <si>
    <t>CHEFY KETCHUP 340 GM</t>
  </si>
  <si>
    <t>018/769</t>
  </si>
  <si>
    <t>CRYSTAL SUNFLOWER 0.75 LT. UGANDA</t>
  </si>
  <si>
    <t>018/770</t>
  </si>
  <si>
    <t>VODIAL GEL 250 ML ( FRONT &amp; BACK )</t>
  </si>
  <si>
    <t>018/771</t>
  </si>
  <si>
    <t>خل تفاح طبيعى 6 % - 500 مل</t>
  </si>
  <si>
    <t>018/772</t>
  </si>
  <si>
    <t>330*232 MM RED ( ABO HAWA )</t>
  </si>
  <si>
    <t>018/773</t>
  </si>
  <si>
    <t>018/774</t>
  </si>
  <si>
    <t>SANSOBABY CREAM 100 GM</t>
  </si>
  <si>
    <t>018/775</t>
  </si>
  <si>
    <t>SANSOBABY CREAM 200 GM</t>
  </si>
  <si>
    <t>018/776</t>
  </si>
  <si>
    <t>MOBEX OIL HDC 50 20 LT( FRONT )</t>
  </si>
  <si>
    <t>018/777</t>
  </si>
  <si>
    <t>MOBEX OIL HDC 50 20 LT( BACK )</t>
  </si>
  <si>
    <t>018/778</t>
  </si>
  <si>
    <t>HASCO FLOOR CLEANER 2.8 LT FRONT</t>
  </si>
  <si>
    <t>018/779</t>
  </si>
  <si>
    <t>HASCO FLOOR CLEANER 2.8 LT BACK</t>
  </si>
  <si>
    <t>018/780</t>
  </si>
  <si>
    <t>HASCO WHITENING CLOTHES 500 ML ( FRONT &amp; BACK )</t>
  </si>
  <si>
    <t>018/781</t>
  </si>
  <si>
    <t>018/782</t>
  </si>
  <si>
    <t>EGYPTIAN BIRTISH CHEMICALS</t>
  </si>
  <si>
    <t>018/783</t>
  </si>
  <si>
    <t>MOBEX OIL HDC 50 5 LT( FRONT )</t>
  </si>
  <si>
    <t>018/784</t>
  </si>
  <si>
    <t>MOBEX OIL HDC 50 5 LT( BACK )</t>
  </si>
  <si>
    <t>018/785</t>
  </si>
  <si>
    <t>MOBEX OIL 10W40 1 LT ( FRONT + BACK )</t>
  </si>
  <si>
    <t>018/786</t>
  </si>
  <si>
    <t>MOBEX OIL SAE 20 W 50 4 LT( FRONT + BACK )</t>
  </si>
  <si>
    <t>018/787</t>
  </si>
  <si>
    <t>BLANK ( TRIAL )</t>
  </si>
  <si>
    <t>018/788</t>
  </si>
  <si>
    <t>STICKER TEST (180201661011)</t>
  </si>
  <si>
    <t>018/789</t>
  </si>
  <si>
    <t>تكت شاور 37 مل أكاكبا</t>
  </si>
  <si>
    <t>018/790</t>
  </si>
  <si>
    <t>018/791</t>
  </si>
  <si>
    <t>FRIDA CAR -ICE CREAM   300 ML</t>
  </si>
  <si>
    <t>018/792</t>
  </si>
  <si>
    <t>WATER FOR INJECTION 2 ML</t>
  </si>
  <si>
    <t>018/793</t>
  </si>
  <si>
    <t xml:space="preserve">HARPIC ORIGUNAL 190 ML  </t>
  </si>
  <si>
    <t>018/794</t>
  </si>
  <si>
    <t>HARPIC FRESH 700 ML BACK</t>
  </si>
  <si>
    <t>018/795</t>
  </si>
  <si>
    <t>HARPIC FRESH 700 ML FRONT</t>
  </si>
  <si>
    <t>018/796</t>
  </si>
  <si>
    <t xml:space="preserve">HARPIC ORIGUNAL 450 FRONT  </t>
  </si>
  <si>
    <t>018/797</t>
  </si>
  <si>
    <t xml:space="preserve">HARPIC ORIGUNAL 450 BACK  </t>
  </si>
  <si>
    <t>018/798</t>
  </si>
  <si>
    <t>018/799</t>
  </si>
  <si>
    <t>تكت شامبو /  شاور جل 45 مل C&amp;EAfia 900 ML</t>
  </si>
  <si>
    <t>018/800</t>
  </si>
  <si>
    <t>RABIES VACCINE INJECTION 0.5 ML</t>
  </si>
  <si>
    <t>018/801</t>
  </si>
  <si>
    <t xml:space="preserve"> SHAMPOO FRESH SOFT 400 ML FRONT ( KIDS )</t>
  </si>
  <si>
    <t>018/802</t>
  </si>
  <si>
    <t xml:space="preserve"> SHAMPOO FRESH SOFT 400 ML BACK ( KIDS )</t>
  </si>
  <si>
    <t>018/803</t>
  </si>
  <si>
    <t xml:space="preserve">SHAMPOO FRESH SOFT 250 ML FRONT ( KIDS ) </t>
  </si>
  <si>
    <t>018/804</t>
  </si>
  <si>
    <t xml:space="preserve">SHAMPOO FRESH SOFT 250 ML BACK ( KIDS ) </t>
  </si>
  <si>
    <t>018/805</t>
  </si>
  <si>
    <t xml:space="preserve">KAPCI COATING </t>
  </si>
  <si>
    <t>018/806</t>
  </si>
  <si>
    <t>PAN AFRICAN LUBRICANTS EGYOT CO SAE</t>
  </si>
  <si>
    <t>018/807</t>
  </si>
  <si>
    <t>018/808</t>
  </si>
  <si>
    <t>PETROMIN</t>
  </si>
  <si>
    <t>018/809</t>
  </si>
  <si>
    <t>KAMENA CO.</t>
  </si>
  <si>
    <t>018/810</t>
  </si>
  <si>
    <t>ميدلينك للاستثمار والتوكيلات التجارية</t>
  </si>
  <si>
    <t>018/811</t>
  </si>
  <si>
    <t>OXI LS GEL 2.5 KG LAVANDER ( FRONT )</t>
  </si>
  <si>
    <t>018/812</t>
  </si>
  <si>
    <t>OXI LS GEL 2.5 KG LAVANDER ( BACK )</t>
  </si>
  <si>
    <t>018/813</t>
  </si>
  <si>
    <t>KAMENA HAND CLEAN APPLE 360 ML</t>
  </si>
  <si>
    <t>018/814</t>
  </si>
  <si>
    <t>DOMTY ISTANPOLI OLD YELLOW CHEESE</t>
  </si>
  <si>
    <t>018/815</t>
  </si>
  <si>
    <t>AUG PHARMA</t>
  </si>
  <si>
    <t>018/816</t>
  </si>
  <si>
    <t>شركة القاهرة للادوية و الصناعات الكيماوية</t>
  </si>
  <si>
    <t>018/817</t>
  </si>
  <si>
    <t>2H CO.  250 MLE ( FRONT + BACK )</t>
  </si>
  <si>
    <t>018/818</t>
  </si>
  <si>
    <t xml:space="preserve"> 150 GM     الشركة الاروبية للمنتجات الغذائية </t>
  </si>
  <si>
    <t>018/819</t>
  </si>
  <si>
    <t>كيماويات البناء الحديث الدولية</t>
  </si>
  <si>
    <t>018/820</t>
  </si>
  <si>
    <t>EL RASHIDI EL MEZAN CO. ( استكرز عسل اسود 520 جرام شحنة ايطاليا )</t>
  </si>
  <si>
    <t>018/821</t>
  </si>
  <si>
    <t>Afia International</t>
  </si>
  <si>
    <t>018/822</t>
  </si>
  <si>
    <t>018/823</t>
  </si>
  <si>
    <t>برتاية للمنتجات الغذائية</t>
  </si>
  <si>
    <t>018/824</t>
  </si>
  <si>
    <t>HERO TRADE</t>
  </si>
  <si>
    <t>018/825</t>
  </si>
  <si>
    <t>018/826</t>
  </si>
  <si>
    <t>العنود لمستحضرات التجميل</t>
  </si>
  <si>
    <t>018/827</t>
  </si>
  <si>
    <t>FRIDA FLOOR - APPLE 2L</t>
  </si>
  <si>
    <t>018/828</t>
  </si>
  <si>
    <t>FRIDA FLOOR - FRUITS 4 L</t>
  </si>
  <si>
    <t>018/829</t>
  </si>
  <si>
    <t>سالى جولى لمستحضرات التجميل</t>
  </si>
  <si>
    <t>018/830</t>
  </si>
  <si>
    <t>إستيكر أرتوكسان 3 فيال كيرجستان</t>
  </si>
  <si>
    <t>018/831</t>
  </si>
  <si>
    <t>FRIDA DISHES LEMON 720 ML</t>
  </si>
  <si>
    <t>018/832</t>
  </si>
  <si>
    <t>AIN ACID 2002 D1 WITH LOGO</t>
  </si>
  <si>
    <t>018/833</t>
  </si>
  <si>
    <t>HANIBO BABY SHAMPOO 200 ML</t>
  </si>
  <si>
    <t>018/834</t>
  </si>
  <si>
    <t xml:space="preserve">BODY BUTTER ( CHAMOMILE HONEY- COCONUT DEEP CANDY   ) 125 ML  </t>
  </si>
  <si>
    <t>018/835</t>
  </si>
  <si>
    <t>ZITONA 11 / 4L SQUARE SHAPE</t>
  </si>
  <si>
    <t>018/836</t>
  </si>
  <si>
    <t>ZITONA 1 / 2L SQUARE SHAPE</t>
  </si>
  <si>
    <t>018/837</t>
  </si>
  <si>
    <t>018/838</t>
  </si>
  <si>
    <t xml:space="preserve">DASANI 5 GALLONS 18.9 LT ( FRONT + BACK ) </t>
  </si>
  <si>
    <t>018/839</t>
  </si>
  <si>
    <t>ZITONA 3 /4L   CIRCLE SHAPE 250 ML</t>
  </si>
  <si>
    <t>018/840</t>
  </si>
  <si>
    <t>ZITONA 3 /4L   SQUARE SHAPE 750 ML</t>
  </si>
  <si>
    <t>019/841</t>
  </si>
  <si>
    <t>ZAHRATI OIL 1.6 LT. EXPORT ( ARBIC &amp; ENGLISH )</t>
  </si>
  <si>
    <t>019/842</t>
  </si>
  <si>
    <t>DLAMON 1/2 LITRE CIRCLE</t>
  </si>
  <si>
    <t>019/843</t>
  </si>
  <si>
    <t>DLAMON 1/4 LITRE CIRCLE</t>
  </si>
  <si>
    <t>019/844</t>
  </si>
  <si>
    <t>DLAMON 3/4 LITRE</t>
  </si>
  <si>
    <t>019/845</t>
  </si>
  <si>
    <t>DLAMON 1 LITRE</t>
  </si>
  <si>
    <t>019/846</t>
  </si>
  <si>
    <t>DLAMON 1/2 LITRE</t>
  </si>
  <si>
    <t>019/847</t>
  </si>
  <si>
    <t>DLAMON 1/4 LITRE</t>
  </si>
  <si>
    <t>019/848</t>
  </si>
  <si>
    <t>QUICKIE 350 GM ( THREE VARIANTS )</t>
  </si>
  <si>
    <t>019/849</t>
  </si>
  <si>
    <t>LIVUNG HAWK ( ABO HAWA )</t>
  </si>
  <si>
    <t>019/850</t>
  </si>
  <si>
    <t>STREET FIERIECE ( ABO HAWA )</t>
  </si>
  <si>
    <t>019/851</t>
  </si>
  <si>
    <t>PURIFY GEL 80 ML</t>
  </si>
  <si>
    <t>019/852</t>
  </si>
  <si>
    <t xml:space="preserve">SMALLER NOSE - YOUNG BY COLLAGEN </t>
  </si>
  <si>
    <t>019/853</t>
  </si>
  <si>
    <t>BRIGHT SHINE-READ FOR FUN 80 ML</t>
  </si>
  <si>
    <t>019/854</t>
  </si>
  <si>
    <t>DOFOS 48% EC 900 ML</t>
  </si>
  <si>
    <t>019/855</t>
  </si>
  <si>
    <t>3D BODY - FACE WASH</t>
  </si>
  <si>
    <t>019/856</t>
  </si>
  <si>
    <t xml:space="preserve">QUICKIE 190 GM  </t>
  </si>
  <si>
    <t>019/857</t>
  </si>
  <si>
    <t xml:space="preserve">JUMBOO MOOD TENDER 2 LT. FRONT </t>
  </si>
  <si>
    <t>019/858</t>
  </si>
  <si>
    <t>JUMBOO MOOD TENDER 2 LT. BACK</t>
  </si>
  <si>
    <t>019/859</t>
  </si>
  <si>
    <t>SLITE OIL 900 LT (BOHSALI FOODS LEBANON ) F+B</t>
  </si>
  <si>
    <t>019/860</t>
  </si>
  <si>
    <t>مياه النبع الصافى 7 لتر</t>
  </si>
  <si>
    <t>019/861</t>
  </si>
  <si>
    <t>BOMBASTIC 250 ML ( TRIAL )</t>
  </si>
  <si>
    <t>019/862</t>
  </si>
  <si>
    <t>TEST ( MUP )</t>
  </si>
  <si>
    <t>019/863</t>
  </si>
  <si>
    <t>MR.BEAR 400 ML</t>
  </si>
  <si>
    <t>019/864</t>
  </si>
  <si>
    <t>019/865</t>
  </si>
  <si>
    <t>SOUL AND MORE SHOWER GEL ( VANILLA WAVE - WHITE MUSK )</t>
  </si>
  <si>
    <t>019/866</t>
  </si>
  <si>
    <t>GAZPROMNEFT GREASE ( PAN AFRICAN )</t>
  </si>
  <si>
    <t>019/867</t>
  </si>
  <si>
    <t>ANTISEPTIC DISINFECTANT 1.5 LT ( FRONT + BACK )</t>
  </si>
  <si>
    <t>019/868</t>
  </si>
  <si>
    <t>LE LABO CONDITIONER  40 ML</t>
  </si>
  <si>
    <t>019/869</t>
  </si>
  <si>
    <t>SMOOTHDERM LOTION ( MEDIZEN )</t>
  </si>
  <si>
    <t>019/870</t>
  </si>
  <si>
    <t>MY OLIVE OIL 55 ML</t>
  </si>
  <si>
    <t>019/871</t>
  </si>
  <si>
    <t>SANSOIMUNE SYRUP 200 ML</t>
  </si>
  <si>
    <t>019/872</t>
  </si>
  <si>
    <t>AXXA 2 STROKE OIL 1 LT ( FRONT &amp; BACK )</t>
  </si>
  <si>
    <t>019/873</t>
  </si>
  <si>
    <t>حلاوة طحينة سادة 1600 جرام</t>
  </si>
  <si>
    <t>019/874</t>
  </si>
  <si>
    <t>حلاوة طحينية بالفستق 350   جرام الجانبين</t>
  </si>
  <si>
    <t>019/875</t>
  </si>
  <si>
    <t>حلاوة طحينية سادة 700   جرام الجانبين</t>
  </si>
  <si>
    <t>019/876</t>
  </si>
  <si>
    <t>حلاوة طحينية سادة 900   جرام الجانبين</t>
  </si>
  <si>
    <t>019/877</t>
  </si>
  <si>
    <t>حلاوة طحينية سادة 750   جرام الغطاء</t>
  </si>
  <si>
    <t>019/878</t>
  </si>
  <si>
    <t>حلاوة طحينية سادة 900   جرام الغطاء</t>
  </si>
  <si>
    <t>019/879</t>
  </si>
  <si>
    <t>حلاوة طحينية سادة 350   جرام الغطاء</t>
  </si>
  <si>
    <t>019/880</t>
  </si>
  <si>
    <t xml:space="preserve">BLANK  </t>
  </si>
  <si>
    <t>019/881</t>
  </si>
  <si>
    <t>019/882</t>
  </si>
  <si>
    <t>019/883</t>
  </si>
  <si>
    <t>DG-WASH-CLOVE 220 ML ( FRONT )</t>
  </si>
  <si>
    <t>019/884</t>
  </si>
  <si>
    <t>BLANK 105 *300</t>
  </si>
  <si>
    <t>019/885</t>
  </si>
  <si>
    <t>TRICHUP HAIR MASK (HLS - HEALTHY LONG &amp; STRONG )</t>
  </si>
  <si>
    <t>019/886</t>
  </si>
  <si>
    <t>ZITONA 1 LITRE NEW SHAPE</t>
  </si>
  <si>
    <t>019/887</t>
  </si>
  <si>
    <t>MOTORCYCLE 390-75-GOLD</t>
  </si>
  <si>
    <t>019/888</t>
  </si>
  <si>
    <t>AL WABIL WATER 5 LT</t>
  </si>
  <si>
    <t>019/889</t>
  </si>
  <si>
    <t>019/890</t>
  </si>
  <si>
    <t>الوسام توب حلاوة طحينينة سادة 1.6 كيلو</t>
  </si>
  <si>
    <t>019/891</t>
  </si>
  <si>
    <t>PROMOTION 10 % AMLA  45 -90 ML</t>
  </si>
  <si>
    <t>019/892</t>
  </si>
  <si>
    <t>ARGAN SHAMPOO GOLDEN SILICONE FREE 500 ML</t>
  </si>
  <si>
    <t>019/893</t>
  </si>
  <si>
    <t>DABUR AMLA JASMINE HAIR OIL 180 ML ( BLANK TRIAL )</t>
  </si>
  <si>
    <t>019/894</t>
  </si>
  <si>
    <t>SHOWER GEL ALL BACKS</t>
  </si>
  <si>
    <t>019/895</t>
  </si>
  <si>
    <t>GOIL 1.6L</t>
  </si>
  <si>
    <t>019/896</t>
  </si>
  <si>
    <t>LULU STRAWBERRY JAM 450 G</t>
  </si>
  <si>
    <t>019/897</t>
  </si>
  <si>
    <t>PROLACTIFIX 0.5 MG</t>
  </si>
  <si>
    <t>019/898</t>
  </si>
  <si>
    <t>KERATIN SHAMPOO FOR TANGLED &amp; DRY HAIR 500 ML</t>
  </si>
  <si>
    <t>019/899</t>
  </si>
  <si>
    <t>DABUR AMLA HAIR OIL 270 ML</t>
  </si>
  <si>
    <t>019/900</t>
  </si>
  <si>
    <t>DABUR AMLA HAIR OIL 90 ML</t>
  </si>
  <si>
    <t>019/901</t>
  </si>
  <si>
    <t>SHOWER GEL CHERRY BLOSSOM   253 ML</t>
  </si>
  <si>
    <t>019/902</t>
  </si>
  <si>
    <t>PS 100 LRRADIATION AMDUL.0096.06   يوجد بالفورمة شرشره</t>
  </si>
  <si>
    <t>019/903</t>
  </si>
  <si>
    <t>FAST CARPET</t>
  </si>
  <si>
    <t>019/904</t>
  </si>
  <si>
    <t>BLANK NECK 240 ML</t>
  </si>
  <si>
    <t>019/905</t>
  </si>
  <si>
    <t>BLANK 240 ML</t>
  </si>
  <si>
    <t>019/906</t>
  </si>
  <si>
    <t>BLANK 1000 ML</t>
  </si>
  <si>
    <t>019/907</t>
  </si>
  <si>
    <t>NECK 1000 ML</t>
  </si>
  <si>
    <t>019/908</t>
  </si>
  <si>
    <t>NECK 500 ML</t>
  </si>
  <si>
    <t>019/909</t>
  </si>
  <si>
    <t>MY HAIR 660 ML - FRONT</t>
  </si>
  <si>
    <t>019/910</t>
  </si>
  <si>
    <t>KERATIN ENRICHED HEIR</t>
  </si>
  <si>
    <t>019/911</t>
  </si>
  <si>
    <t>KERATIN ENRICHED HEIR BACK 2LAYERS</t>
  </si>
  <si>
    <t>019/912</t>
  </si>
  <si>
    <t>أنسوليناجيبت 30/70 10 مل</t>
  </si>
  <si>
    <t>019/913</t>
  </si>
  <si>
    <t>019/914</t>
  </si>
  <si>
    <t>ZITONA 2L</t>
  </si>
  <si>
    <t>019/915</t>
  </si>
  <si>
    <t>VANTO 5% 100 ML</t>
  </si>
  <si>
    <t>019/916</t>
  </si>
  <si>
    <t>019/917</t>
  </si>
  <si>
    <t>019/918</t>
  </si>
  <si>
    <t>019/919</t>
  </si>
  <si>
    <t>019/920</t>
  </si>
  <si>
    <t>مربي هيروا</t>
  </si>
  <si>
    <t>019/921</t>
  </si>
  <si>
    <t>019/922</t>
  </si>
  <si>
    <t>019/923</t>
  </si>
  <si>
    <t>AUG PHARAM</t>
  </si>
  <si>
    <t>019/924</t>
  </si>
  <si>
    <t>NATIONAL OIL</t>
  </si>
  <si>
    <t>019/925</t>
  </si>
  <si>
    <t>019/926</t>
  </si>
  <si>
    <t>019/927</t>
  </si>
  <si>
    <t>019/928</t>
  </si>
  <si>
    <t>019/929</t>
  </si>
  <si>
    <t>الشجرة المباركة زيت زيتون 1000 مل</t>
  </si>
  <si>
    <t>019/930</t>
  </si>
  <si>
    <t>الشجرة المباركة زيت زيتون 500 مل</t>
  </si>
  <si>
    <t>019/931</t>
  </si>
  <si>
    <t>ADCO DIVATOLL 250 ML</t>
  </si>
  <si>
    <t>019/932</t>
  </si>
  <si>
    <t>ADCO velveta 750 Ml</t>
  </si>
  <si>
    <t>019/933</t>
  </si>
  <si>
    <t xml:space="preserve">MUP WATER FOR INJECTOIN 2ML MUP </t>
  </si>
  <si>
    <t>019/934</t>
  </si>
  <si>
    <t xml:space="preserve">MUP WATER FOR INJECTOIN 5ML MUP </t>
  </si>
  <si>
    <t>019/935</t>
  </si>
  <si>
    <t>019/936</t>
  </si>
  <si>
    <t xml:space="preserve">MUP WATER FOR INJECTOIN 2ML M/G </t>
  </si>
  <si>
    <t>019/937</t>
  </si>
  <si>
    <t>019/938</t>
  </si>
  <si>
    <t>019/939</t>
  </si>
  <si>
    <t>019/940</t>
  </si>
  <si>
    <t xml:space="preserve">ALLMED OPEN </t>
  </si>
  <si>
    <t>019/941</t>
  </si>
  <si>
    <t>019/942</t>
  </si>
  <si>
    <t>019/943</t>
  </si>
  <si>
    <t>019/944</t>
  </si>
  <si>
    <t>019/945</t>
  </si>
  <si>
    <t>019/946</t>
  </si>
  <si>
    <t>SPARKLE 400 ML (BACK)</t>
  </si>
  <si>
    <t>019/947</t>
  </si>
  <si>
    <t>ALLMED BIO CARB-G</t>
  </si>
  <si>
    <t>019/948</t>
  </si>
  <si>
    <t>WATER FOR INJECTION AMPOUL 5 ML</t>
  </si>
  <si>
    <t>019/949</t>
  </si>
  <si>
    <t>019/950</t>
  </si>
  <si>
    <t xml:space="preserve">2H </t>
  </si>
  <si>
    <t>019/951</t>
  </si>
  <si>
    <t>AL ANDALOUS</t>
  </si>
  <si>
    <t>019/952</t>
  </si>
  <si>
    <t>العلياء زيت فول سوداني 9 لتر</t>
  </si>
  <si>
    <t>019/953</t>
  </si>
  <si>
    <t>العلياء زيت فول سوداني 18 لتر</t>
  </si>
  <si>
    <t>019/954</t>
  </si>
  <si>
    <t>EMCO KONOZ 1.6 KG</t>
  </si>
  <si>
    <t>019/955</t>
  </si>
  <si>
    <t>AL SHOMOUKH PLANTA GLASS CLEANER 650 ML</t>
  </si>
  <si>
    <t>019/956</t>
  </si>
  <si>
    <t>COCACOLA</t>
  </si>
  <si>
    <t>019/957</t>
  </si>
  <si>
    <t>019/958</t>
  </si>
  <si>
    <t>ARMA CRYSTAL 5L</t>
  </si>
  <si>
    <t>019/959</t>
  </si>
  <si>
    <t>ROYAL CLEAN</t>
  </si>
  <si>
    <t>019/960</t>
  </si>
  <si>
    <t>019/961</t>
  </si>
  <si>
    <t>ALLMED</t>
  </si>
  <si>
    <t>019/962</t>
  </si>
  <si>
    <t>FRIDAL FRIDA GLASS 550 ML</t>
  </si>
  <si>
    <t>019/963</t>
  </si>
  <si>
    <t>HAYAH MELATEX C_30 ML</t>
  </si>
  <si>
    <t>019/964</t>
  </si>
  <si>
    <t xml:space="preserve">HERO </t>
  </si>
  <si>
    <t>019/965</t>
  </si>
  <si>
    <t>KAMENA</t>
  </si>
  <si>
    <t>019/966</t>
  </si>
  <si>
    <t xml:space="preserve">ABO HAWA </t>
  </si>
  <si>
    <t>019/967</t>
  </si>
  <si>
    <t>019/968</t>
  </si>
  <si>
    <t>ABC AGRICULUTRE</t>
  </si>
  <si>
    <t>019/969</t>
  </si>
  <si>
    <t>019/970</t>
  </si>
  <si>
    <t>019/971</t>
  </si>
  <si>
    <t>KAMENA FAST</t>
  </si>
  <si>
    <t>019/972</t>
  </si>
  <si>
    <t>019/973</t>
  </si>
  <si>
    <t>019/974</t>
  </si>
  <si>
    <t>020/975</t>
  </si>
  <si>
    <t>020/976</t>
  </si>
  <si>
    <t>film</t>
  </si>
  <si>
    <t>020/977</t>
  </si>
  <si>
    <t>HAYAH LABORATORIES CO.</t>
  </si>
  <si>
    <t>020/978</t>
  </si>
  <si>
    <t>رويال كلين للكيماويات</t>
  </si>
  <si>
    <t>020/979</t>
  </si>
  <si>
    <t>020/980</t>
  </si>
  <si>
    <t>GULF 1 LT</t>
  </si>
  <si>
    <t>020/981</t>
  </si>
  <si>
    <t>GULF 4 LT</t>
  </si>
  <si>
    <t>020/982</t>
  </si>
  <si>
    <t>GULF 5 LT</t>
  </si>
  <si>
    <t>020/983</t>
  </si>
  <si>
    <t>DM FOR TRADING &amp; SUPPLIES</t>
  </si>
  <si>
    <t>020/984</t>
  </si>
  <si>
    <t>020/985</t>
  </si>
  <si>
    <t>MAMIBA CO.</t>
  </si>
  <si>
    <t>020/986</t>
  </si>
  <si>
    <t>020/987</t>
  </si>
  <si>
    <t>020/988</t>
  </si>
  <si>
    <t>شركة الصناعات الغذائية العربية  دومتى</t>
  </si>
  <si>
    <t>020/989</t>
  </si>
  <si>
    <t>020/990</t>
  </si>
  <si>
    <t>HEDYA MIXED SUNFLOWER EXPORT 1.5 L</t>
  </si>
  <si>
    <t>020/991</t>
  </si>
  <si>
    <t>020/992</t>
  </si>
  <si>
    <t>020/993</t>
  </si>
  <si>
    <t>020/994</t>
  </si>
  <si>
    <t>WIN WIN INTEGRATED SOLUTIONS</t>
  </si>
  <si>
    <t>020/995</t>
  </si>
  <si>
    <t>020/996</t>
  </si>
  <si>
    <t>020/997</t>
  </si>
  <si>
    <t>020/998</t>
  </si>
  <si>
    <t>NOVELL PHARMA</t>
  </si>
  <si>
    <t>020/999</t>
  </si>
  <si>
    <t>020/1000</t>
  </si>
  <si>
    <t>020/1001</t>
  </si>
  <si>
    <t>020/1002</t>
  </si>
  <si>
    <t xml:space="preserve">PEAL &amp; SEAL DIE CUTTER ميدلينك للإستثمارات والتوكيلات التجارية </t>
  </si>
  <si>
    <t>020/1003</t>
  </si>
  <si>
    <t>020/1004</t>
  </si>
  <si>
    <t>020/1005</t>
  </si>
  <si>
    <t>020/1006</t>
  </si>
  <si>
    <t>020/1007</t>
  </si>
  <si>
    <t>شركة جلف للزيوت مصر</t>
  </si>
  <si>
    <t>020/1008</t>
  </si>
  <si>
    <t>020/1009</t>
  </si>
  <si>
    <t>020/1010</t>
  </si>
  <si>
    <t xml:space="preserve">MADAR </t>
  </si>
  <si>
    <t>020/1011</t>
  </si>
  <si>
    <t>EVA PHARMA</t>
  </si>
  <si>
    <t>020/1012</t>
  </si>
  <si>
    <t>AFIA INTERNATIONAL</t>
  </si>
  <si>
    <t>020/1013</t>
  </si>
  <si>
    <t>MY WAY</t>
  </si>
  <si>
    <t>020/1014</t>
  </si>
  <si>
    <t>TABADOL INVESTMENT PEAL &amp; SEAL</t>
  </si>
  <si>
    <t>020/1015</t>
  </si>
  <si>
    <t>KEMPETRO FOR CHEMICAL</t>
  </si>
  <si>
    <t>020/1016</t>
  </si>
  <si>
    <t>020/1017</t>
  </si>
  <si>
    <t>ARMA FOR SOAP &amp; DETERGENT</t>
  </si>
  <si>
    <t>020/1018</t>
  </si>
  <si>
    <t>020/1019</t>
  </si>
  <si>
    <t>PACKTECH CO.</t>
  </si>
  <si>
    <t>020/1020</t>
  </si>
  <si>
    <t>CLOROX 5 X 1 3L</t>
  </si>
  <si>
    <t>020/1021</t>
  </si>
  <si>
    <t>CLOROX 5 X 1 700 ML</t>
  </si>
  <si>
    <t>020/1022</t>
  </si>
  <si>
    <t>CLOROX 5 X 1 500 ML</t>
  </si>
  <si>
    <t>020/1023</t>
  </si>
  <si>
    <t>CLOROX 5 X 1 750 ML</t>
  </si>
  <si>
    <t>020/1024</t>
  </si>
  <si>
    <t>020/1025</t>
  </si>
  <si>
    <t>MIDDLE EAST FOR VACCINES</t>
  </si>
  <si>
    <t>020/1026</t>
  </si>
  <si>
    <t>زاد مصر</t>
  </si>
  <si>
    <t>020/1027</t>
  </si>
  <si>
    <t>020/1028</t>
  </si>
  <si>
    <t>FRIDAL</t>
  </si>
  <si>
    <t>020/1029</t>
  </si>
  <si>
    <t>020/1030</t>
  </si>
  <si>
    <t>020/1031</t>
  </si>
  <si>
    <t>020/1032</t>
  </si>
  <si>
    <t>020/1033</t>
  </si>
  <si>
    <t>020/1034</t>
  </si>
  <si>
    <t>020/1035</t>
  </si>
  <si>
    <t>020/1036</t>
  </si>
  <si>
    <t xml:space="preserve"> العربيه لمنتجات الالبان اراب ديرى - باندا</t>
  </si>
  <si>
    <t>020/1037</t>
  </si>
  <si>
    <t>020/1038</t>
  </si>
  <si>
    <t>UNITED EGYPT CO</t>
  </si>
  <si>
    <t>020/1039</t>
  </si>
  <si>
    <t>020/1040</t>
  </si>
  <si>
    <t>020/1041</t>
  </si>
  <si>
    <t>شركة دبلن للصناعات الغذائية</t>
  </si>
  <si>
    <t>020/1042</t>
  </si>
  <si>
    <t>020/1043</t>
  </si>
  <si>
    <t>020/1044</t>
  </si>
  <si>
    <t>020/1045</t>
  </si>
  <si>
    <t>WADI FOOD DOMAINE NATROUN - 500 ML</t>
  </si>
  <si>
    <t>020/1046</t>
  </si>
  <si>
    <t xml:space="preserve"> RAMEDA - WATER FOR INJECTION AMPOULE 2 ML</t>
  </si>
  <si>
    <t>020/1047</t>
  </si>
  <si>
    <t>LOREAL EGYPT</t>
  </si>
  <si>
    <t>020/1048</t>
  </si>
  <si>
    <t>020/1049</t>
  </si>
  <si>
    <t>WATER FOR INJECTION AMPOULE10 ML</t>
  </si>
  <si>
    <t>020/1050</t>
  </si>
  <si>
    <t>020/1051</t>
  </si>
  <si>
    <t>020/1052</t>
  </si>
  <si>
    <t>020/1053</t>
  </si>
  <si>
    <t>020/1054</t>
  </si>
  <si>
    <t>020/1055</t>
  </si>
  <si>
    <t>020/1056</t>
  </si>
  <si>
    <t>020/1057</t>
  </si>
  <si>
    <t>020/1058</t>
  </si>
  <si>
    <t>EL RASHIDI EL MEZAN CO.</t>
  </si>
  <si>
    <t>020/1059</t>
  </si>
  <si>
    <t>020/1060</t>
  </si>
  <si>
    <t>020/1061</t>
  </si>
  <si>
    <t>020/1062</t>
  </si>
  <si>
    <t>020/1063</t>
  </si>
  <si>
    <t>ARMA FOR OIL INDUSTRIES الاصيل 1.5 لتر</t>
  </si>
  <si>
    <t>020/1064</t>
  </si>
  <si>
    <t>GAP 2 - GAP 3</t>
  </si>
  <si>
    <t>020/1065</t>
  </si>
  <si>
    <t>020/1066</t>
  </si>
  <si>
    <t>020/1067</t>
  </si>
  <si>
    <t xml:space="preserve"> MY WAY POWER 480 ML ( FRONT &amp; BACK )</t>
  </si>
  <si>
    <t>020/1068</t>
  </si>
  <si>
    <t>ROYAL COSMETICS</t>
  </si>
  <si>
    <t>020/1069</t>
  </si>
  <si>
    <t>020/1070</t>
  </si>
  <si>
    <t>020/1071</t>
  </si>
  <si>
    <t>فاروكيم</t>
  </si>
  <si>
    <t>020/1072</t>
  </si>
  <si>
    <t xml:space="preserve">شامبو مايكرو كيراتين 400 مل </t>
  </si>
  <si>
    <t>020/1073</t>
  </si>
  <si>
    <t>020/1074</t>
  </si>
  <si>
    <t>SECRET GARDEN 500 GM MY WAY</t>
  </si>
  <si>
    <t>020/1075</t>
  </si>
  <si>
    <t>020/1076</t>
  </si>
  <si>
    <t>020/1077</t>
  </si>
  <si>
    <t>GAP 3</t>
  </si>
  <si>
    <t>020/1078</t>
  </si>
  <si>
    <t>020/1079</t>
  </si>
  <si>
    <t>الأصيل عباد 2.25 لتر</t>
  </si>
  <si>
    <t>020/1080</t>
  </si>
  <si>
    <t>SEED NATURALE ARGAN-VITAMIN E SHAMPOO 190 ML</t>
  </si>
  <si>
    <t>020/1081</t>
  </si>
  <si>
    <t>SEED NATURALE - VITAMIN E SHAMPOO 350 ML</t>
  </si>
  <si>
    <t>020/1082</t>
  </si>
  <si>
    <t>SEED NATURAL HAIR OIL ANTI SPLIT END 90 ML</t>
  </si>
  <si>
    <t>020/1083</t>
  </si>
  <si>
    <t>SEED NATURALE HAIR OIL ANTI SPLIT END 180 ML</t>
  </si>
  <si>
    <t>020/1084</t>
  </si>
  <si>
    <t>DR. PHI ADVANCED HAND SANITIZER 300ML- BACK</t>
  </si>
  <si>
    <t>020/1085</t>
  </si>
  <si>
    <t>020/1086</t>
  </si>
  <si>
    <t>020/1087</t>
  </si>
  <si>
    <t>020/1088</t>
  </si>
  <si>
    <t>020/1089</t>
  </si>
  <si>
    <t>020/1090</t>
  </si>
  <si>
    <t>020/1091</t>
  </si>
  <si>
    <t>020/1092</t>
  </si>
  <si>
    <t xml:space="preserve">AL MESHRAF HALWA 10 KG </t>
  </si>
  <si>
    <t>020/1093</t>
  </si>
  <si>
    <t>AL MESHRAF HALWA 15 KG</t>
  </si>
  <si>
    <t>020/1094</t>
  </si>
  <si>
    <t>AL MESHRAF HALAWA 2 KG</t>
  </si>
  <si>
    <t>020/1095</t>
  </si>
  <si>
    <t>020/1096</t>
  </si>
  <si>
    <t>AL MESHRAF HALAWA 5 KG</t>
  </si>
  <si>
    <t>020/1097</t>
  </si>
  <si>
    <t>AL MESHRAF HALAWA 3 KG</t>
  </si>
  <si>
    <t>020/1098</t>
  </si>
  <si>
    <t>SUNNY 5 L ( E &amp; F )</t>
  </si>
  <si>
    <t>020/1099</t>
  </si>
  <si>
    <t>SUNNY 1.8 ( E &amp; F )</t>
  </si>
  <si>
    <t>020/1100</t>
  </si>
  <si>
    <t>JESSICA ALEXANDRE BODY LOTION - FRONT</t>
  </si>
  <si>
    <t>020/1101</t>
  </si>
  <si>
    <t>020/1102</t>
  </si>
  <si>
    <t>SADUR KETCHUP 200 GM FRONT &amp; BACK</t>
  </si>
  <si>
    <t>020/1103</t>
  </si>
  <si>
    <t>SADUR KETCHUP 400 GM FRONT &amp; BACK</t>
  </si>
  <si>
    <t>020/1104</t>
  </si>
  <si>
    <t>DURRA KETCHUP 440 GM FRONT &amp; BACK</t>
  </si>
  <si>
    <t>020/1105</t>
  </si>
  <si>
    <t>سبراى مطهر ومعقم الاسطح مضاد للبكتريا والفيروسات</t>
  </si>
  <si>
    <t>020/1106</t>
  </si>
  <si>
    <t>TWINZLUB SUPER HD 50 1 LT (FRONT &amp; BACK )</t>
  </si>
  <si>
    <t>020/1107</t>
  </si>
  <si>
    <t>NAQAA LIQUID SOAP FOR DISHIES 700 GM LEMON</t>
  </si>
  <si>
    <t>020/1108</t>
  </si>
  <si>
    <t>NAQAA GLASS &amp; SURFACE CLEANER 625 GM</t>
  </si>
  <si>
    <t>020/1109</t>
  </si>
  <si>
    <t>020/1110</t>
  </si>
  <si>
    <t>DURRA KETCHUP SWEET 500</t>
  </si>
  <si>
    <t>020/1111</t>
  </si>
  <si>
    <t>KETCHUP  HOT  TWEETY , SPONGBOB - 250 GR</t>
  </si>
  <si>
    <t>020/1112</t>
  </si>
  <si>
    <t>METRO FRESH MEAT</t>
  </si>
  <si>
    <t>020/1113</t>
  </si>
  <si>
    <t>TCF56WW NAME PLATE BANISUEF</t>
  </si>
  <si>
    <t>020/1114</t>
  </si>
  <si>
    <t>BARCODE DIE CUT</t>
  </si>
  <si>
    <t>020/1115</t>
  </si>
  <si>
    <t>DURRA KETCHUP TOMATO SWEET 750 G GERMAN</t>
  </si>
  <si>
    <t>020/1116</t>
  </si>
  <si>
    <t>020/1117</t>
  </si>
  <si>
    <t>020/1118</t>
  </si>
  <si>
    <t>ABC LEMON / HONEY 320 MG BACK</t>
  </si>
  <si>
    <t>020/1119</t>
  </si>
  <si>
    <t>OXI DWL YELLOW LEMON 600 GM ( DOUBLE FACE )</t>
  </si>
  <si>
    <t>020/1120</t>
  </si>
  <si>
    <t>020/1121</t>
  </si>
  <si>
    <t xml:space="preserve"> BLANKيارا اجرى تريد مصر</t>
  </si>
  <si>
    <t>020/1122</t>
  </si>
  <si>
    <t>020/1123</t>
  </si>
  <si>
    <t>020/1124</t>
  </si>
  <si>
    <t>BAYAN ( CPC OIL )</t>
  </si>
  <si>
    <t>020/1125</t>
  </si>
  <si>
    <t>020/1126</t>
  </si>
  <si>
    <t>نوفو باكو لمواد التعبئة</t>
  </si>
  <si>
    <t>020/1127</t>
  </si>
  <si>
    <t>FRIDA FABRIC_FRESH 1 KG</t>
  </si>
  <si>
    <t>020/1128</t>
  </si>
  <si>
    <t>FRIDA FABRIC_SPRING BREEZE 2 KG</t>
  </si>
  <si>
    <t>020/1129</t>
  </si>
  <si>
    <t>020/1130</t>
  </si>
  <si>
    <t>020/1131</t>
  </si>
  <si>
    <t>TIK TOK SHAMPOO 400 ML</t>
  </si>
  <si>
    <t>020/1132</t>
  </si>
  <si>
    <t>020/1133</t>
  </si>
  <si>
    <t>020/1134</t>
  </si>
  <si>
    <t>020/1135</t>
  </si>
  <si>
    <t>FAB EXTRA TOILET CLEANER 750 ML (FRONT &amp; BACK)</t>
  </si>
  <si>
    <t>020/1136</t>
  </si>
  <si>
    <t>MAGIC POWDER DETERGENT WHITENER 400 GM (FRONT &amp; BACK)</t>
  </si>
  <si>
    <t>020/1137</t>
  </si>
  <si>
    <t>FAB LAUNDRY LIQUID 1000 ML YELLOW</t>
  </si>
  <si>
    <t>020/1138</t>
  </si>
  <si>
    <t>FAB LAUNDRY LIQUID 500 ML BLUE</t>
  </si>
  <si>
    <t>020/1139</t>
  </si>
  <si>
    <t>FAB PASTE DETERGENT 300 ML (FRONT &amp; BACK)</t>
  </si>
  <si>
    <t>020/1140</t>
  </si>
  <si>
    <t>FAB GLASS CLEANER 675 ML ( FRONT &amp; BACK )</t>
  </si>
  <si>
    <t>020/1141</t>
  </si>
  <si>
    <t>MAGIC POWDER DETERGENT WHITENER 900 GM (FRONT &amp; BACK)</t>
  </si>
  <si>
    <t>020/1142</t>
  </si>
  <si>
    <t>020/1143</t>
  </si>
  <si>
    <t>020/1144</t>
  </si>
  <si>
    <t>MAGIC LIQUID DETERGENT 1.2 LT ( FRONT &amp; BACK )</t>
  </si>
  <si>
    <t>020/1145</t>
  </si>
  <si>
    <t>ARWA  HALWA 5KG</t>
  </si>
  <si>
    <t>020/1146</t>
  </si>
  <si>
    <t>ARWA  HALWA 2KG</t>
  </si>
  <si>
    <t>020/1147</t>
  </si>
  <si>
    <t>ARWA  HALWA 15KG</t>
  </si>
  <si>
    <t>020/1148</t>
  </si>
  <si>
    <t>ARWA  HALWA 10KG</t>
  </si>
  <si>
    <t>020/1149</t>
  </si>
  <si>
    <t>ARWA  HALWA 3KG</t>
  </si>
  <si>
    <t>020/1150</t>
  </si>
  <si>
    <t>DABUR AMLA HAIR OIL REG 45 ML 10% OFF</t>
  </si>
  <si>
    <t>020/1151</t>
  </si>
  <si>
    <t>NI3MAH SUNFLOWER OIL 9 LT</t>
  </si>
  <si>
    <t>020/1152</t>
  </si>
  <si>
    <t>NI3MAH SUNFLOWER OIL 18 LT</t>
  </si>
  <si>
    <t>020/1153</t>
  </si>
  <si>
    <t>خالد خشالة وشركاه SMOKED</t>
  </si>
  <si>
    <t>020/1154</t>
  </si>
  <si>
    <t>020/1155</t>
  </si>
  <si>
    <t>BAHIA - FEBA 600 GM FREE معا لدعم هديه</t>
  </si>
  <si>
    <t>020/1156</t>
  </si>
  <si>
    <t>020/1157</t>
  </si>
  <si>
    <t>020/1158</t>
  </si>
  <si>
    <t>LIDA 5 KG ( FRONT &amp; BACK )</t>
  </si>
  <si>
    <t>020/1159</t>
  </si>
  <si>
    <t>020/1160</t>
  </si>
  <si>
    <t>AVUVA SHEA BUTTER 50 G</t>
  </si>
  <si>
    <t>020/1161</t>
  </si>
  <si>
    <t>AVUVA BODY BUTTER - CHERRY BLOSOM</t>
  </si>
  <si>
    <t>020/1162</t>
  </si>
  <si>
    <t>المراعي الخضراء</t>
  </si>
  <si>
    <t>020/1163</t>
  </si>
  <si>
    <t>020/1164</t>
  </si>
  <si>
    <t>020/1165</t>
  </si>
  <si>
    <t xml:space="preserve"> KAMINA CO. HAIR OIL 70 ML</t>
  </si>
  <si>
    <t>020/1166</t>
  </si>
  <si>
    <t xml:space="preserve"> HERO CO. BLACK CHERRY JAM 350 GM - NECK</t>
  </si>
  <si>
    <t>020/1167</t>
  </si>
  <si>
    <t>NOUR 2.7 L ( ARABIC &amp; ENGLISH )</t>
  </si>
  <si>
    <t>020/1168</t>
  </si>
  <si>
    <t>LAB HERO 500 G NATURAL HNY BACK EXP</t>
  </si>
  <si>
    <t>020/1169</t>
  </si>
  <si>
    <t>020/1170</t>
  </si>
  <si>
    <t>CIRCLE 3L ( ARABIC &amp; ENGLISH)</t>
  </si>
  <si>
    <t>020/1173</t>
  </si>
  <si>
    <t>020/1174</t>
  </si>
  <si>
    <t>020/1175</t>
  </si>
  <si>
    <t>020/1176</t>
  </si>
  <si>
    <t>020/1177</t>
  </si>
  <si>
    <t xml:space="preserve"> DABUR EGYPT SNAKE OIL _ FRIZZ CONTROL_ 50 ML</t>
  </si>
  <si>
    <t>020/1178</t>
  </si>
  <si>
    <t>DABUR EGYPT  VATIKA NOURISH &amp; PROTECT SHAMPOO 190 ML</t>
  </si>
  <si>
    <t>020/1179</t>
  </si>
  <si>
    <t>020/1180</t>
  </si>
  <si>
    <t>021/1181</t>
  </si>
  <si>
    <t>Die cutter &amp; Perforation سيلفربيرن 250 جم كريم - برطمان</t>
  </si>
  <si>
    <t>021/1182</t>
  </si>
  <si>
    <t>افانتى جبن موزاريلا مبشور طبيعى KHOSHALA CO.</t>
  </si>
  <si>
    <t>021/1183</t>
  </si>
  <si>
    <t xml:space="preserve"> COCA COLA COMPANY SCHWEPPES GOLD PEACH 1 LITER (NECK)</t>
  </si>
  <si>
    <t>021/1184</t>
  </si>
  <si>
    <t xml:space="preserve"> COCA COLA COMPANY SCHWEPPES GOLD PEACH 1 LITER (BODY)</t>
  </si>
  <si>
    <t>021/1185</t>
  </si>
  <si>
    <t>021/1186</t>
  </si>
  <si>
    <t>021/1187</t>
  </si>
  <si>
    <t>021/1188</t>
  </si>
  <si>
    <t>021/1189</t>
  </si>
  <si>
    <t>اوبال ايجيبت لخلط وتعبئه مستحضرات التجميل  CARPET SHAMPOO 500 ML</t>
  </si>
  <si>
    <t>021/1190</t>
  </si>
  <si>
    <t>اوبال ايجيبت لخلط وتعبئه مستحضرات التجميل  DISINFECTANT 250 ML</t>
  </si>
  <si>
    <t>021/1191</t>
  </si>
  <si>
    <t>اوبال ايجيبت لخلط وتعبئه مستحضرات التجميل  DISINFECTANT 125 ML</t>
  </si>
  <si>
    <t>021/1192</t>
  </si>
  <si>
    <t>اوبال ايجيبت لخلط وتعبئه مستحضرات التجميل  DISINFECTANT 500 ML</t>
  </si>
  <si>
    <t>021/1193</t>
  </si>
  <si>
    <t>021/1194</t>
  </si>
  <si>
    <t xml:space="preserve"> 2H TRADING / LEAVE IN CHARCOAL 250 ML</t>
  </si>
  <si>
    <t>021/1195</t>
  </si>
  <si>
    <t xml:space="preserve">ريفولي شاور جل 500 مل أمامي وخلفي </t>
  </si>
  <si>
    <t>021/1196</t>
  </si>
  <si>
    <t xml:space="preserve"> PREMIUM FOR ADVANCED IND ACTROS TDI 5 LT. (FRONT&amp;BACK)</t>
  </si>
  <si>
    <t>021/1197</t>
  </si>
  <si>
    <t>021/1198</t>
  </si>
  <si>
    <t>021/1199</t>
  </si>
  <si>
    <t>SAMSUNG CO. 2 LAYERS PIGGY BACK 152084</t>
  </si>
  <si>
    <t>021/1200</t>
  </si>
  <si>
    <t>021/1201</t>
  </si>
  <si>
    <t>SAMSUNG CO. 2 HIGHTS PIGGY BACK 149757</t>
  </si>
  <si>
    <t>021/1202</t>
  </si>
  <si>
    <t xml:space="preserve"> FRIDAL CO. SHOWER GEL 3L</t>
  </si>
  <si>
    <t>021/1203</t>
  </si>
  <si>
    <t>021/1204</t>
  </si>
  <si>
    <t>021/1205</t>
  </si>
  <si>
    <t>021/1206</t>
  </si>
  <si>
    <t>021/1207</t>
  </si>
  <si>
    <t>021/1208</t>
  </si>
  <si>
    <t>021/1209</t>
  </si>
  <si>
    <t>021/1210</t>
  </si>
  <si>
    <t xml:space="preserve">PEAL &amp; SEAL DIE CUTTER براند بوينت للدعاية والإعلان  </t>
  </si>
  <si>
    <t>021/1211</t>
  </si>
  <si>
    <t>برتاية للمنتجات الغذائية سادور 800 جرام</t>
  </si>
  <si>
    <t>021/1212</t>
  </si>
  <si>
    <t>فاروكيم نانو كلور 3 لتر</t>
  </si>
  <si>
    <t>021/1213</t>
  </si>
  <si>
    <t xml:space="preserve"> فاروكيم كومفي عبير الزهور 1 لتر</t>
  </si>
  <si>
    <t>021/1214</t>
  </si>
  <si>
    <t>NANO HAND WASH 500 ML فاروكيم</t>
  </si>
  <si>
    <t>021/1215</t>
  </si>
  <si>
    <t>021/1216</t>
  </si>
  <si>
    <t>UNITED OIL</t>
  </si>
  <si>
    <t>021/1217</t>
  </si>
  <si>
    <t>021/1218</t>
  </si>
  <si>
    <t>021/1219</t>
  </si>
  <si>
    <t>021/1220</t>
  </si>
  <si>
    <t xml:space="preserve"> OPAL EGYPT FAT SOLVANT NICK</t>
  </si>
  <si>
    <t>021/1221</t>
  </si>
  <si>
    <t>NOOR SUNFLOWER OIL 1.8 ARABIC &amp; ENGLISH</t>
  </si>
  <si>
    <t>021/1222</t>
  </si>
  <si>
    <t>CPC OIL</t>
  </si>
  <si>
    <t>021/1223</t>
  </si>
  <si>
    <t>021/1224</t>
  </si>
  <si>
    <t>021/1225</t>
  </si>
  <si>
    <t>DEEP HAIR CREAM</t>
  </si>
  <si>
    <t>021/1226</t>
  </si>
  <si>
    <t>021/1227</t>
  </si>
  <si>
    <t>021/1228</t>
  </si>
  <si>
    <t>021/1229</t>
  </si>
  <si>
    <t>021/1230</t>
  </si>
  <si>
    <t>021/1231</t>
  </si>
  <si>
    <t>021/1232</t>
  </si>
  <si>
    <t>021/1233</t>
  </si>
  <si>
    <t>021/1234</t>
  </si>
  <si>
    <t>021/1235</t>
  </si>
  <si>
    <t>021/1236</t>
  </si>
  <si>
    <t>MANAR HALAWA  3 KG</t>
  </si>
  <si>
    <t>021/1237</t>
  </si>
  <si>
    <t>MANAR HALAWA  5 KG</t>
  </si>
  <si>
    <t>021/1238</t>
  </si>
  <si>
    <t>MANAR HALAWA  10 KG</t>
  </si>
  <si>
    <t>021/1239</t>
  </si>
  <si>
    <t>MANAR HALAWA  2 KG</t>
  </si>
  <si>
    <t>021/1240</t>
  </si>
  <si>
    <t>MANAR HALAWA  15 KG</t>
  </si>
  <si>
    <t>021/1241</t>
  </si>
  <si>
    <t xml:space="preserve"> IPI - LE KARITES HAIR CREAM WITH SHEW BUTTER 125 ML</t>
  </si>
  <si>
    <t>021/1242</t>
  </si>
  <si>
    <t>TWIN ZLUB SAE 50 TOKTOK</t>
  </si>
  <si>
    <t>021/1243</t>
  </si>
  <si>
    <t>COCA COLA BOTTLING COMPANY OF EGYPT ملصق زجاجه ثلاثي</t>
  </si>
  <si>
    <t>021/1244</t>
  </si>
  <si>
    <t xml:space="preserve"> ديتكو للهندسه والتجاره ADD - ME TOMATO PASTE 300 GM</t>
  </si>
  <si>
    <t>021/1245</t>
  </si>
  <si>
    <t>021/1246</t>
  </si>
  <si>
    <t>PEAL &amp; SEAL DIE CUTTER FOR MY WAY</t>
  </si>
  <si>
    <t>021/1247</t>
  </si>
  <si>
    <t>021/1248</t>
  </si>
  <si>
    <t>021/1249</t>
  </si>
  <si>
    <t>021/1250</t>
  </si>
  <si>
    <t>SCHWEPPES 1.75 LITER (BODY)</t>
  </si>
  <si>
    <t>021/1251</t>
  </si>
  <si>
    <t>SCHWEPPES 1.75 LITER (NECK)</t>
  </si>
  <si>
    <t>021/1252</t>
  </si>
  <si>
    <t>021/1253</t>
  </si>
  <si>
    <t>021/1254</t>
  </si>
  <si>
    <t>PEAL &amp; SEAL DIE CUTTER FOR SAFE CHEAM</t>
  </si>
  <si>
    <t>021/1255</t>
  </si>
  <si>
    <t>021/1256</t>
  </si>
  <si>
    <t>021/1257</t>
  </si>
  <si>
    <t xml:space="preserve"> هيرو للصناعات الغذائية S.L HERO 650G </t>
  </si>
  <si>
    <t>021/1258</t>
  </si>
  <si>
    <t xml:space="preserve">  ADCO ECONET DEBOUCHE BIEN -DRAIN OPENER - 250 GM</t>
  </si>
  <si>
    <t>021/1259</t>
  </si>
  <si>
    <t>BEAUTY &amp; BEYOND INTERNATIONAL   EBAFIX SHAMPOO 200 ML</t>
  </si>
  <si>
    <t>021/1260</t>
  </si>
  <si>
    <t>ميدلينك للاستثمار والتوكيلات التجارية AVUVA SUNBLOCK LOTION 120 ML</t>
  </si>
  <si>
    <t>021/1261</t>
  </si>
  <si>
    <t>021/1262</t>
  </si>
  <si>
    <t>2H TRADING CO. EVER PURE KIDS (FRONT - BACK ) 385 ML</t>
  </si>
  <si>
    <t>021/1263</t>
  </si>
  <si>
    <t>021/1264</t>
  </si>
  <si>
    <t>021/1265</t>
  </si>
  <si>
    <t>تى ان جى لمستحضرات التجميل</t>
  </si>
  <si>
    <t>021/1266</t>
  </si>
  <si>
    <t>021/1267</t>
  </si>
  <si>
    <t>ريفولى شاور250مل امامى وخلفى</t>
  </si>
  <si>
    <t>021/1268</t>
  </si>
  <si>
    <t>021/1269</t>
  </si>
  <si>
    <t>TWINZLUB SUPER - X HD- 50_ 4 LT. (FRONT + BACK)</t>
  </si>
  <si>
    <t>021/1270</t>
  </si>
  <si>
    <t xml:space="preserve"> AESTHETIC TRADE SILVER ROLL ON</t>
  </si>
  <si>
    <t>021/1272</t>
  </si>
  <si>
    <t>KOFTI KENOZ 2 LT.</t>
  </si>
  <si>
    <t>021/1273</t>
  </si>
  <si>
    <t>KOFTI KENOZ 3 LT.</t>
  </si>
  <si>
    <t>021/1274</t>
  </si>
  <si>
    <t xml:space="preserve">بركس منظف الزجاج موف 500 مللي أمامي وخلفي </t>
  </si>
  <si>
    <t>021/1275</t>
  </si>
  <si>
    <t>شامبو بزيت الكوبرا 1500 مل امامى وخلفى</t>
  </si>
  <si>
    <t>021/1276</t>
  </si>
  <si>
    <t>نانو صابون 675 مل فاروكيم</t>
  </si>
  <si>
    <t>021/1277</t>
  </si>
  <si>
    <t xml:space="preserve">بركس منظف الزجاج  750 مللي أمامي وخلفي </t>
  </si>
  <si>
    <t>021/1278</t>
  </si>
  <si>
    <t>KITADAN SHAMPOO 200 ML</t>
  </si>
  <si>
    <t>021/1279</t>
  </si>
  <si>
    <t>021/1280</t>
  </si>
  <si>
    <t>021/1283</t>
  </si>
  <si>
    <t>JESSICA ALEXANDRE BODY WASH 300 ML _BACK</t>
  </si>
  <si>
    <t>021/1284</t>
  </si>
  <si>
    <t>021/1285</t>
  </si>
  <si>
    <t>DIVATOLL 500 ML PINE (FRONT&amp;BACK)</t>
  </si>
  <si>
    <t>021/1286</t>
  </si>
  <si>
    <t>FEBA DISH 1 KG (FRONT = BACK)</t>
  </si>
  <si>
    <t>021/1287</t>
  </si>
  <si>
    <t>VELVETA GEL 1 LT(COLORED&amp;WHITE CLOTHES)</t>
  </si>
  <si>
    <t>021/1288</t>
  </si>
  <si>
    <t>JESSICA  ALEXANDRE  70 ML _ FRONT</t>
  </si>
  <si>
    <t>021/1289</t>
  </si>
  <si>
    <t>ديتكو للتجارة والهندسة ADD ME</t>
  </si>
  <si>
    <t>021/1290</t>
  </si>
  <si>
    <t xml:space="preserve"> ديتكو MAEDA_PIZZA SAUCE &amp; PASTA SAUCE 300 GM</t>
  </si>
  <si>
    <t>021/1291</t>
  </si>
  <si>
    <t xml:space="preserve"> ديتكو ADD_ME MAYO 210 GM</t>
  </si>
  <si>
    <t>021/1292</t>
  </si>
  <si>
    <t xml:space="preserve"> تتراكيمBENADEEL ANTISEPTIC SOLUTION 10 % 4L</t>
  </si>
  <si>
    <t>021/1293</t>
  </si>
  <si>
    <t>021/1294</t>
  </si>
  <si>
    <t xml:space="preserve"> ليدر لمستحضرات التجميلBLUE LINE FRENCH FRAGRANCE 1000 ML</t>
  </si>
  <si>
    <t>021/1295</t>
  </si>
  <si>
    <t xml:space="preserve"> MAMIBA WARM OAK BODY WASH 360 ML</t>
  </si>
  <si>
    <t>021/1296</t>
  </si>
  <si>
    <t>021/1297</t>
  </si>
  <si>
    <t>SHIELD 1 LT. (FRONT + BACK)</t>
  </si>
  <si>
    <t>021/1298</t>
  </si>
  <si>
    <t>SHIELD 4 LT. (FRONT + BACK)</t>
  </si>
  <si>
    <t>021/1299</t>
  </si>
  <si>
    <t xml:space="preserve"> فريدال FURNITUER CLEANER _ 550 ML</t>
  </si>
  <si>
    <t>021/1300</t>
  </si>
  <si>
    <t>021/1301</t>
  </si>
  <si>
    <t>021/1302</t>
  </si>
  <si>
    <t>SHIELD TUKTUK MAX MONOGRADE GASOLINE ENGINEOIL 1.75 LT</t>
  </si>
  <si>
    <t>021/1303</t>
  </si>
  <si>
    <t>021/1304</t>
  </si>
  <si>
    <t>021/1305</t>
  </si>
  <si>
    <t>021/1306</t>
  </si>
  <si>
    <t>تيكت داخلي ليفلوكساسين CT 235.02 /01 /00 EVA PHARMA</t>
  </si>
  <si>
    <t>021/1307</t>
  </si>
  <si>
    <t>021/1308</t>
  </si>
  <si>
    <t>OPAL VESLINE 50 GM</t>
  </si>
  <si>
    <t>021/1309</t>
  </si>
  <si>
    <t>021/1310</t>
  </si>
  <si>
    <t>OPAL ALCHOL 100 ML</t>
  </si>
  <si>
    <t>021/1311</t>
  </si>
  <si>
    <t>OPAL ALCHOL 60 ML</t>
  </si>
  <si>
    <t>021/1312</t>
  </si>
  <si>
    <t>021/1313</t>
  </si>
  <si>
    <t>021/1314</t>
  </si>
  <si>
    <t>021/1315</t>
  </si>
  <si>
    <t>021/1316</t>
  </si>
  <si>
    <t>021/1317</t>
  </si>
  <si>
    <t>021/1318</t>
  </si>
  <si>
    <t>021/1319</t>
  </si>
  <si>
    <t>021/1320</t>
  </si>
  <si>
    <t>021/1321</t>
  </si>
  <si>
    <t>021/1322</t>
  </si>
  <si>
    <t>RAPIDO SCREEN CLEAN 300 ML</t>
  </si>
  <si>
    <t>021/1323</t>
  </si>
  <si>
    <t>OPAL VESLINE 70 GM</t>
  </si>
  <si>
    <t>021/1324</t>
  </si>
  <si>
    <t>OPAL VESLINE 120 GM</t>
  </si>
  <si>
    <t>021/1325</t>
  </si>
  <si>
    <t>SHIELD EXTRA MONOGRADE 5 LT FRONT</t>
  </si>
  <si>
    <t>021/1326</t>
  </si>
  <si>
    <t>SHIELD EXTRA MONOGRADE 5 LT BACK</t>
  </si>
  <si>
    <t>021/1327</t>
  </si>
  <si>
    <t>021/1328</t>
  </si>
  <si>
    <t>021/1329</t>
  </si>
  <si>
    <t>PENDULINE CURLY KIDS CONDITIONER 65 ML FREE</t>
  </si>
  <si>
    <t>021/1330</t>
  </si>
  <si>
    <t>021/1331</t>
  </si>
  <si>
    <t>021/1332</t>
  </si>
  <si>
    <t xml:space="preserve"> شركة الأهرام للصناعات البلاستيكيه المتطورة ZINC OLIVE 100 ML FRONT - BACK</t>
  </si>
  <si>
    <t>021/1333</t>
  </si>
  <si>
    <t>021/1334</t>
  </si>
  <si>
    <t>021/1335</t>
  </si>
  <si>
    <t xml:space="preserve"> AFIA SUNFLOWER OIL NECK GOLD - AFIA INTERNATIONAL </t>
  </si>
  <si>
    <t>021/1336</t>
  </si>
  <si>
    <t>021/1337</t>
  </si>
  <si>
    <t>021/1338</t>
  </si>
  <si>
    <t>021/1339</t>
  </si>
  <si>
    <t xml:space="preserve">VELVETA AUTOMATIC LAUNDRY GEL 1.5 LT-ADCO </t>
  </si>
  <si>
    <t>021/1340</t>
  </si>
  <si>
    <t>021/1341</t>
  </si>
  <si>
    <t>021/1342</t>
  </si>
  <si>
    <t>021/1343</t>
  </si>
  <si>
    <t>021/1344</t>
  </si>
  <si>
    <t>021/1345</t>
  </si>
  <si>
    <t>021/1346</t>
  </si>
  <si>
    <t xml:space="preserve"> STICKER رهيا بيوتي لمستحضرات التجميل والأدوية </t>
  </si>
  <si>
    <t>021/1347</t>
  </si>
  <si>
    <t>021/1348</t>
  </si>
  <si>
    <t>021/1349</t>
  </si>
  <si>
    <t>021/1350</t>
  </si>
  <si>
    <t>Material Code: 94610</t>
  </si>
  <si>
    <t>021/1351</t>
  </si>
  <si>
    <t xml:space="preserve"> ديتكو للهندسة والتجارة TOP VALUE </t>
  </si>
  <si>
    <t>021/1352</t>
  </si>
  <si>
    <t>LOREAL EGYPT SERUM ETIQ 30 ML</t>
  </si>
  <si>
    <t>021/1353</t>
  </si>
  <si>
    <t>EASY CARE MOISTURIZING GEL 750 ML</t>
  </si>
  <si>
    <t>021/1354</t>
  </si>
  <si>
    <t>شركة اسكندرية للحلويات والشيكولاتة  SPREADY 330 GM</t>
  </si>
  <si>
    <t>021/1355</t>
  </si>
  <si>
    <t>021/1356</t>
  </si>
  <si>
    <t>Perforation die cutter IN GAP</t>
  </si>
  <si>
    <t>021/1357</t>
  </si>
  <si>
    <t>021/1358</t>
  </si>
  <si>
    <t>Perforation die cutter SAMSUNG GH68 - 51524A</t>
  </si>
  <si>
    <t>021/1359</t>
  </si>
  <si>
    <t>Perforation die cutter SAMSUNG GH68 - 51354D</t>
  </si>
  <si>
    <t>021/1360</t>
  </si>
  <si>
    <t>022/1361</t>
  </si>
  <si>
    <t>COFFTEA FACTORY - BLANK</t>
  </si>
  <si>
    <t>022/1362</t>
  </si>
  <si>
    <t>الكفاح لتجاره الزيوت - FOLEX LUBRICANTS SUPER G1 GASOLINE OIL 1 LT</t>
  </si>
  <si>
    <t>022/1363</t>
  </si>
  <si>
    <t>الكفاح لتجاره الزيوت - FOLEX LUBRICANTS SUPER G1 GASOLINE OIL 4 LT</t>
  </si>
  <si>
    <t>022/1364</t>
  </si>
  <si>
    <t>الكفاح لتجاره الزيوت - FOLEX LUBRICANTS SUPER 4 LT</t>
  </si>
  <si>
    <t>022/1365</t>
  </si>
  <si>
    <t>DETTOL 3 X 1.8 LITER - الصناعيه والتجاريه للصابون والكيماويات سيترا ايجيبت</t>
  </si>
  <si>
    <t>022/1366</t>
  </si>
  <si>
    <t>COFFTEA FACTORY - 1 LT. (ARABIC &amp; ENGLISH)</t>
  </si>
  <si>
    <t>022/1367</t>
  </si>
  <si>
    <t>COFFTEA FACTORY - 500 ML (ARABIC &amp; ENGLISH)</t>
  </si>
  <si>
    <t>022/1368</t>
  </si>
  <si>
    <t>COFFTEA FACTORY - 900 ML (ARABIC &amp; ENGLISH)</t>
  </si>
  <si>
    <t>022/1369</t>
  </si>
  <si>
    <t>COFFTEA FACTORY - 4 LT. (ARABIC &amp; ENGLISH)</t>
  </si>
  <si>
    <t>022/1370</t>
  </si>
  <si>
    <t>AQUAFINA 18.9 LT. PEPSI NEW</t>
  </si>
  <si>
    <t>022/1371</t>
  </si>
  <si>
    <t>المصرية للتكنولوجيا الحيوية - ANASYS 5GM WITHOUT CE</t>
  </si>
  <si>
    <t>022/1372</t>
  </si>
  <si>
    <t>شركه ايفا فارما للادويه - SEPTIQUINE 360 MG/ML BACK LABEL</t>
  </si>
  <si>
    <t>022/1373</t>
  </si>
  <si>
    <t xml:space="preserve">شركه ايفا فارما للادويه - SEPTIQUINE 360 MG/ML </t>
  </si>
  <si>
    <t>022/1374</t>
  </si>
  <si>
    <t>ADCO - VELVETA AUTOMATIC LAUNDRY GEL 3 LT</t>
  </si>
  <si>
    <t>022/1375</t>
  </si>
  <si>
    <t>العربي للتجارة والصناعة العربي - MODEL LABEL(RF-480T)</t>
  </si>
  <si>
    <t>022/1376</t>
  </si>
  <si>
    <t>ايزي كير لمستحضرات التجميل EASY CARE LIQUID HAND SOAP 450 ML MARINE</t>
  </si>
  <si>
    <t>022/1377</t>
  </si>
  <si>
    <t>022/1378</t>
  </si>
  <si>
    <t>022/1379</t>
  </si>
  <si>
    <t>022/1380</t>
  </si>
  <si>
    <t>022/1381</t>
  </si>
  <si>
    <t>(AFIA INTERNATIONAL) NECK AFIA CORN PLUS 800+1600+2.2LT</t>
  </si>
  <si>
    <t>022/1382</t>
  </si>
  <si>
    <t>ايزى كير لمستحضرات التجميل ستيكر كاب موحد 2022</t>
  </si>
  <si>
    <t>022/1383</t>
  </si>
  <si>
    <t>022/1384</t>
  </si>
  <si>
    <t>COFFTEA FACTORY GROUNDNUTS TASTE 450 &amp; 500 ML</t>
  </si>
  <si>
    <t>022/1385</t>
  </si>
  <si>
    <t>COFFTEA FACTORY GROUNDNUTS TASTE 900 ML &amp; 1 LT</t>
  </si>
  <si>
    <t>022/1386</t>
  </si>
  <si>
    <t>COFFTEA FACTORY GROUNDNUTS TASTE 2 &amp; 3L &amp; 4 LT</t>
  </si>
  <si>
    <t>022/1387</t>
  </si>
  <si>
    <t>022/1388</t>
  </si>
  <si>
    <t>022/1389</t>
  </si>
  <si>
    <t>المتحدة للزيوت CRUZE SUPER SG 20 W50 1 L</t>
  </si>
  <si>
    <t>022/1390</t>
  </si>
  <si>
    <t>المتحدة للزيوت</t>
  </si>
  <si>
    <t>022/1391</t>
  </si>
  <si>
    <t>022/1392</t>
  </si>
  <si>
    <t>هاند سوب بينك 480 مل امامي وخلفي / MY WAY</t>
  </si>
  <si>
    <t>022/1393</t>
  </si>
  <si>
    <t>شاور ماي بيبي 150 مل امامي وخلفي / MY WAY</t>
  </si>
  <si>
    <t>022/1394</t>
  </si>
  <si>
    <t>كولونيا ماى بيبي 80 مل امامى وخلفى/ MY WAY</t>
  </si>
  <si>
    <t>022/1395</t>
  </si>
  <si>
    <t>022/1396</t>
  </si>
  <si>
    <t>022/1397</t>
  </si>
  <si>
    <t>محمد ممدوح احمد سلامه - ميكرز KIDZOS LEAVE IN CONDITIONER 250 GM - CAP</t>
  </si>
  <si>
    <t>022/1398</t>
  </si>
  <si>
    <t xml:space="preserve">ARMA FOR SOAP &amp; DETERGENT - اوكسي 900جم امامى  GEL REGULAR </t>
  </si>
  <si>
    <t>022/1399</t>
  </si>
  <si>
    <t>ARMA FOR SOAP &amp; DETERGENT - اوكسي 3 كجم امامي GEL REGULAR L.S</t>
  </si>
  <si>
    <t>022/1400</t>
  </si>
  <si>
    <t xml:space="preserve">ARMA FOR SOAP &amp; DETERGENT - اوكسي 3كجم خلفي GEL REGULAR L.S </t>
  </si>
  <si>
    <t>022/1401</t>
  </si>
  <si>
    <t xml:space="preserve">ARMA FOR SOAP &amp; DETERGENT - اوكسي 900جم خلفي  GEL REGULAR </t>
  </si>
  <si>
    <t>022/1402</t>
  </si>
  <si>
    <t>ديتكو للهندسة والتجارة</t>
  </si>
  <si>
    <t>022/1403</t>
  </si>
  <si>
    <t>ADCO - LIDA ALL PURPOSE CLEANER 8KG ( FRONT&amp; BACK)</t>
  </si>
  <si>
    <t>022/1404</t>
  </si>
  <si>
    <t>ايليت لسوائل السيارات - ELITE COOLANT 5L BACK</t>
  </si>
  <si>
    <t>022/1405</t>
  </si>
  <si>
    <t xml:space="preserve">ايليت لسوائل السيارات - ELITE COOLANT 5L FRONT </t>
  </si>
  <si>
    <t>022/1406</t>
  </si>
  <si>
    <t>MAMIBA CO - THIS WORKS CONDITIONER 360 ML</t>
  </si>
  <si>
    <t>022/1407</t>
  </si>
  <si>
    <t>022/1408</t>
  </si>
  <si>
    <t>022/1409</t>
  </si>
  <si>
    <t>PEEL AND SEAL</t>
  </si>
  <si>
    <t>022/1410</t>
  </si>
  <si>
    <t>022/1411</t>
  </si>
  <si>
    <t>ADCO- MAXELL MAGIC FLOOR CLEANER 1.8 LT. LEMON ( FRONT + BACK )</t>
  </si>
  <si>
    <t>022/1412</t>
  </si>
  <si>
    <t>لوحة ديكور مروحة حائط TWF- 18 - العربي للتجارة والصناعة</t>
  </si>
  <si>
    <t>022/1413</t>
  </si>
  <si>
    <t>لوحه ديكور السويتش TWF -18 - العربي للتجارة والصناعة</t>
  </si>
  <si>
    <t>022/1414</t>
  </si>
  <si>
    <t>ADCO - FEBA MULTI-PURPOSE CLEANER 635 GM_LEMON ( FRONT+BACK )</t>
  </si>
  <si>
    <t>022/1415</t>
  </si>
  <si>
    <t>022/1416</t>
  </si>
  <si>
    <t>MAMIBA EGYPT FOR COSMETICS - TOKYO MILK CONDITIONER</t>
  </si>
  <si>
    <t>022/1417</t>
  </si>
  <si>
    <t>ADCO - VELVETA STUBBORN STAIN REMOVER 500ML OXGYEN POWER ( FRONT + BACK )</t>
  </si>
  <si>
    <t>022/1418</t>
  </si>
  <si>
    <t>022/1419</t>
  </si>
  <si>
    <t>022/1420</t>
  </si>
  <si>
    <t>022/1421</t>
  </si>
  <si>
    <t>022/1422</t>
  </si>
  <si>
    <t>هيرو للصناعات الغذائية - S.L VITRAC 340 G NATURAL HONEY EX</t>
  </si>
  <si>
    <t>022/1423</t>
  </si>
  <si>
    <t>022/1424</t>
  </si>
  <si>
    <t>ADCO - DIVASOL DISINFECTANT CLEANER 750 ML</t>
  </si>
  <si>
    <t>022/1426</t>
  </si>
  <si>
    <t>ADCO - LIDA ALL PURPOSE CLEANER 10 KG LEMON POWER ( FRONT + BACK )</t>
  </si>
  <si>
    <t>022/1427</t>
  </si>
  <si>
    <t>ADCO - DIVA MOISTURISING ANTI -BACTERIA HAND WASH 480 ML_ULTRA SENSITIVE (FRONT)</t>
  </si>
  <si>
    <t>022/1428</t>
  </si>
  <si>
    <t>KAMINA - KIDS HAIR CONDITIONER _ SHEA BUTTER _ 250 ML _ BLUE</t>
  </si>
  <si>
    <t>022/1429</t>
  </si>
  <si>
    <t>ARMA FOR SOAP &amp; DETERGENT - وفير 680 جرام خلفى سادة</t>
  </si>
  <si>
    <t>022/1430</t>
  </si>
  <si>
    <t>ARMA FOR SOAP &amp; DETERGENT - اوكسى جل 4 كجم خلفى سادة</t>
  </si>
  <si>
    <t>022/1431</t>
  </si>
  <si>
    <t>ARMA FOR SOAP &amp; DETERGENT - اوكسى جل 4 كجم امامى سادة</t>
  </si>
  <si>
    <t>022/1432</t>
  </si>
  <si>
    <t>ARMA FOR SOAP &amp; DETERGENT - وفير 680 جرام امامى سادة</t>
  </si>
  <si>
    <t>022/1433</t>
  </si>
  <si>
    <t>022/1434</t>
  </si>
  <si>
    <t>022/1435</t>
  </si>
  <si>
    <t>براند للصناعات الدوائية - CURLY CONDITIONER 300 ML EXPORT BACK</t>
  </si>
  <si>
    <t>022/1436</t>
  </si>
  <si>
    <t>نو فو باكو لمواد التعبئه - GREEN ARROW</t>
  </si>
  <si>
    <t>022/1437</t>
  </si>
  <si>
    <t>022/1438</t>
  </si>
  <si>
    <t>النساجون الشرقيون انترناشيونال - استيكر  سادة 18 * 18</t>
  </si>
  <si>
    <t>022/1439</t>
  </si>
  <si>
    <t>022/1440</t>
  </si>
  <si>
    <t>الوفاق لتجهيز وتكرير ملح الطعام - مولندا شاور جل الورد 2 لتر</t>
  </si>
  <si>
    <t>022/1441</t>
  </si>
  <si>
    <t>فاركو بى العالمية - INJECTMOL 50 ML</t>
  </si>
  <si>
    <t>022/1442</t>
  </si>
  <si>
    <t>ADCO - ROSE GARDEN DISHWASHING LIQUID 700 ML_ LEMON (FRONT + BACK )</t>
  </si>
  <si>
    <t>022/1443</t>
  </si>
  <si>
    <t>022/1444</t>
  </si>
  <si>
    <t>022/1445</t>
  </si>
  <si>
    <t>022/1446</t>
  </si>
  <si>
    <t>022/1447</t>
  </si>
  <si>
    <t>022/1448</t>
  </si>
  <si>
    <t>022/1450</t>
  </si>
  <si>
    <t>022/1451</t>
  </si>
  <si>
    <t>العربي للتجارة والصناعة العربي - BARCODE LABEL A.B.C 92*92 ( 2 LAYERS )</t>
  </si>
  <si>
    <t>022/1452</t>
  </si>
  <si>
    <t>جلوب للغزل والصباغة منطقة حرة خاصة - SEWING THREAD</t>
  </si>
  <si>
    <t>022/1453</t>
  </si>
  <si>
    <t>جلوب للغزل والصباغة منطقة حرة خاصة - PERMA SPUN</t>
  </si>
  <si>
    <t>022/1454</t>
  </si>
  <si>
    <t>اوبال ايجيبت لخلط وتعبئه وتغليف مستحضرات التجميل - GOLD SCRUB 300 GM</t>
  </si>
  <si>
    <t>022/1455</t>
  </si>
  <si>
    <t>COFFTEA FACTORY - GROUNDNUTS TASTE ( 2 &amp; 3 &amp; 4 LT.) ENGLISH + ARABIC ) RED _ NECK</t>
  </si>
  <si>
    <t>022/1456</t>
  </si>
  <si>
    <t>022/1457</t>
  </si>
  <si>
    <t>AMRIYA PHARMA - AMRIZOLE INFUSION ( CONGO - COTE D LVOIRE - FRANCE )</t>
  </si>
  <si>
    <t>022/1458</t>
  </si>
  <si>
    <t>022/1459</t>
  </si>
  <si>
    <t>PUVANA 500 ML GLASS BOTTLE</t>
  </si>
  <si>
    <t>022/1460</t>
  </si>
  <si>
    <t>022/1461</t>
  </si>
  <si>
    <t>المتحده للزيوت وانتاج الكيماويات كمبت - CRUZE FX 60 SAE 60 5L</t>
  </si>
  <si>
    <t>022/1462</t>
  </si>
  <si>
    <t xml:space="preserve">ARMA FOR SOAP &amp; DETERGENT - اوكسي 2.5 كجم امامى GEL  REGU E.X </t>
  </si>
  <si>
    <t>022/1463</t>
  </si>
  <si>
    <t xml:space="preserve">ARMA FOR SOAP &amp; DETERGENT - اوكسي 2.5 كجم خلفي GEL  REGU E.X </t>
  </si>
  <si>
    <t>022/1464</t>
  </si>
  <si>
    <t>المتحده للزيوت وانتاج الكيماويات كمبت - CRUZE TOKTOK SAE 50 1.7 LT ( FRONT &amp; BACK )</t>
  </si>
  <si>
    <t>022/1465</t>
  </si>
  <si>
    <t>022/1466</t>
  </si>
  <si>
    <t>022/1467</t>
  </si>
  <si>
    <t>022/1468</t>
  </si>
  <si>
    <t>022/1469</t>
  </si>
  <si>
    <t>022/1470</t>
  </si>
  <si>
    <t>022/1471</t>
  </si>
  <si>
    <t>ARMA FOR SOAP &amp; DETERGENT - بركس منظف الارضيات ازرق 200 ملي  WS</t>
  </si>
  <si>
    <t>022/1472</t>
  </si>
  <si>
    <t>ARMA FOR SOAP &amp; DETERGENT - بركس منظف الارضيات موف 3 لتر امامي وخلفي</t>
  </si>
  <si>
    <t>022/1473</t>
  </si>
  <si>
    <t>ADCO - FEBA WASHING-UP LIQUID 520 GM _ EXTRA APPLE ( FRONT )</t>
  </si>
  <si>
    <t>022/1474</t>
  </si>
  <si>
    <t>022/1475</t>
  </si>
  <si>
    <t xml:space="preserve"> جلوبال للغزل والصباغة - WILD CAT</t>
  </si>
  <si>
    <t>022/1476</t>
  </si>
  <si>
    <t>022/1477</t>
  </si>
  <si>
    <t xml:space="preserve"> جلوبال للغزل والصباغة - BLANK رباعي</t>
  </si>
  <si>
    <t>022/1478</t>
  </si>
  <si>
    <t>022/1479</t>
  </si>
  <si>
    <t xml:space="preserve">جلوبال للغزل والصباغة </t>
  </si>
  <si>
    <t>022/1480</t>
  </si>
  <si>
    <t>022/1481</t>
  </si>
  <si>
    <t>عبدالغفار نور-MAGNETIC API CD 50 MOTOR OIL 4 L.T</t>
  </si>
  <si>
    <t>022/1482</t>
  </si>
  <si>
    <t>X ONE MOTOR OIL CF - SL 50_1LT.(FRONT + BACK )-يونتكيم</t>
  </si>
  <si>
    <t>022/1483</t>
  </si>
  <si>
    <t>مزيل عرق عنبر 50 مل امامي وخلفي -MYWAY</t>
  </si>
  <si>
    <t>022/1484</t>
  </si>
  <si>
    <t>العربي للصناعات الهندسية-Insurance Sticker Vero</t>
  </si>
  <si>
    <t>022/1485</t>
  </si>
  <si>
    <t>LOREAL EGYPT- BLANK GLASS JAR BACK ( WITH MCR COATING )</t>
  </si>
  <si>
    <t>022/1486</t>
  </si>
  <si>
    <t>022/1487</t>
  </si>
  <si>
    <t>PRODUCT WLABEL 14 CM 10 2 - العربي للصناعات الهندسية</t>
  </si>
  <si>
    <t>022/1488</t>
  </si>
  <si>
    <t xml:space="preserve">  </t>
  </si>
  <si>
    <t>022/1489</t>
  </si>
  <si>
    <t>شركه اكسا للزيوت السودان - AXXA ENGINE OIL 1LT</t>
  </si>
  <si>
    <t>022/1490</t>
  </si>
  <si>
    <t>شركه اكسا للزيوت السودان - AXXA GEAR OIL 90 - 4LT</t>
  </si>
  <si>
    <t>022/1491</t>
  </si>
  <si>
    <t>CAUTION STICKERS - العربي للتجارة والصناعة العربي</t>
  </si>
  <si>
    <t>022/1492</t>
  </si>
  <si>
    <t>ADCO- MAXELL MAGIC FLOOR CLEANER 1 LT GREEN VALLYS F&amp;B</t>
  </si>
  <si>
    <t>022/1493</t>
  </si>
  <si>
    <t>022/1494</t>
  </si>
  <si>
    <t xml:space="preserve"> ADCO - FEBA 2 KG LEMON ( MCR COATING )</t>
  </si>
  <si>
    <t>022/1495</t>
  </si>
  <si>
    <t xml:space="preserve">  دريم مشرق للاغذيه - DREEM WONDER CHOCOLATE CREAM WITH NATURAL FRONT</t>
  </si>
  <si>
    <t>022/1496</t>
  </si>
  <si>
    <t xml:space="preserve">  دريم مشرق للاغذيه - DREEM WONDER CHOCOLATE CREAM WITH NATURAL</t>
  </si>
  <si>
    <t>022/1497</t>
  </si>
  <si>
    <t>المهن الطبية للادوية - ماء للحقن ام يو بى 5 مل</t>
  </si>
  <si>
    <t>022/1498</t>
  </si>
  <si>
    <t>المهن الطبية للادوية - ماء للحقن ام يو بى 2 مل</t>
  </si>
  <si>
    <t>022/1499</t>
  </si>
  <si>
    <t>022/1500</t>
  </si>
  <si>
    <t>( MCR COATING )</t>
  </si>
  <si>
    <t>022/1501</t>
  </si>
  <si>
    <t>022/1502</t>
  </si>
  <si>
    <t xml:space="preserve"> MY WAY - مزيل بقع لدهون باور 250 مل -امامي خلفي ( MCR COATING )</t>
  </si>
  <si>
    <t>022/1503</t>
  </si>
  <si>
    <t xml:space="preserve">  ( MCR COATING ) التوحيد للصناعات المتقدمة - Sparkle normal hair 190 ml </t>
  </si>
  <si>
    <t>022/1504</t>
  </si>
  <si>
    <t xml:space="preserve"> MY WAY - جل معقم لليدين باليمون 70 جم- امامي  خلفي</t>
  </si>
  <si>
    <t>022/1505</t>
  </si>
  <si>
    <t>هنكل مصر للصناعة والتجارة - PRIL 600GM COLD POWER GREEN LEMON FRONT</t>
  </si>
  <si>
    <t>022/1506</t>
  </si>
  <si>
    <t>022/1507</t>
  </si>
  <si>
    <t>هنكل مصر للصناعة والتجارة - PRIL 1KG COLD POWDER GREEN LEMON FRONT</t>
  </si>
  <si>
    <t>022/1508</t>
  </si>
  <si>
    <t>هنكل مصر للصناعة والتجارة - PRIL 1KG COLD POWDER GREEN LEMON BACK</t>
  </si>
  <si>
    <t>022/1509</t>
  </si>
  <si>
    <t>هنكل مصر للصناعة والتجارة - PRIL 2.5KG COLD POWDER GREEN LEMON FRONT</t>
  </si>
  <si>
    <t>022/1510</t>
  </si>
  <si>
    <t>هنكل مصر للصناعة والتجارة - PRIL 2.5KG COLD POWDER GREEN LEMON BACK</t>
  </si>
  <si>
    <t>022/1511</t>
  </si>
  <si>
    <t>هنكل مصر للصناعة والتجارة - GENERAL APC 730GM PRIMAVERA FRONT</t>
  </si>
  <si>
    <t>022/1512</t>
  </si>
  <si>
    <t>هنكل مصر للصناعة والتجارة - GENERAL APC 730GM PRIMAVERA BACK</t>
  </si>
  <si>
    <t>022/1513</t>
  </si>
  <si>
    <t>هنكل مصر للصناعة والتجارة - GENERAL APC 3.1KG LAVENDER FRONT</t>
  </si>
  <si>
    <t>022/1514</t>
  </si>
  <si>
    <t>هنكل مصر للصناعة والتجارة - GENERAL APC 3.1KG LAVENDER BACK</t>
  </si>
  <si>
    <t>022/1515</t>
  </si>
  <si>
    <t>العربي للصناعات الهندسية- BARCODE LABEL 60 *25</t>
  </si>
  <si>
    <t>022/1516</t>
  </si>
  <si>
    <t>سامسونج الكترونكس مصر - MX MOBILE PHONE BOX</t>
  </si>
  <si>
    <t>022/1517</t>
  </si>
  <si>
    <t>E.C.Cالمصرية لمستحضرات التجميل - STARVILLE FACIAL CLEANCER 400ML ( WITH MCR COATING )</t>
  </si>
  <si>
    <t>022/1519</t>
  </si>
  <si>
    <t>MY WAY-سبراى مطهر الاسطح والتواليت 75 مل</t>
  </si>
  <si>
    <t>022/1520</t>
  </si>
  <si>
    <t>022/1521</t>
  </si>
  <si>
    <t>ELIE INDUSTRIES SUDAN - FAB KITCHEN CLEANER &amp; DISINFECTANT 675 ML  (FRONT &amp; BACK)</t>
  </si>
  <si>
    <t>022/1522</t>
  </si>
  <si>
    <t>022/1523</t>
  </si>
  <si>
    <t>022/1524</t>
  </si>
  <si>
    <t>022/1525</t>
  </si>
  <si>
    <t>BEAUTY &amp; BEYOND INTERNATIONAL - ALOKITA CAFFEINE SHAMPOO 200 ML ( MCR COATING )</t>
  </si>
  <si>
    <t>022/1526</t>
  </si>
  <si>
    <t>MY WAY - كلين منظف وملمع لجميع الالوان الكوتشي 60 مل امامي وخلفي</t>
  </si>
  <si>
    <t>022/1527</t>
  </si>
  <si>
    <t>022/1528</t>
  </si>
  <si>
    <t>022/1529</t>
  </si>
  <si>
    <t>افروس فارما للصناعات الدوائية - GLUCOSE 5% W/V  500 ML</t>
  </si>
  <si>
    <t>022/1530</t>
  </si>
  <si>
    <t>022/1531</t>
  </si>
  <si>
    <t>022/1532</t>
  </si>
  <si>
    <t>ADCO - FEBA PLUS WASHING-UP LIQUID 3KG BALSAM (FRONT)</t>
  </si>
  <si>
    <t>022/1533</t>
  </si>
  <si>
    <t>MY WAY - سوبر باور منظف سائل مزيل البقع للملابس 480 مل - امامى - خلفى</t>
  </si>
  <si>
    <t>022/1534</t>
  </si>
  <si>
    <t>MY WAY - كريم تصفيف ناتشرز 150 جم - خلفى - امامى</t>
  </si>
  <si>
    <t>022/1535</t>
  </si>
  <si>
    <t>العربي للتجارة والصناعة</t>
  </si>
  <si>
    <t>022/1536</t>
  </si>
  <si>
    <t>شركة ارما للصابون والمنظفات - ستيكر ريفولي شاور جل اسود  3متر امامي NEW</t>
  </si>
  <si>
    <t>022/1537</t>
  </si>
  <si>
    <t>شركة ارما للصابون والمنظفات - ستيكر ريفولي شاور جل موف  3متر  خلفي NEW</t>
  </si>
  <si>
    <t>022/1538</t>
  </si>
  <si>
    <t>022/1539</t>
  </si>
  <si>
    <t>022/1540</t>
  </si>
  <si>
    <t>022/1541</t>
  </si>
  <si>
    <t>هيرو للصناعات الغذائية - STICKER JM CIRCULAR 100G SACHET</t>
  </si>
  <si>
    <t>022/1542</t>
  </si>
  <si>
    <t>هيرو للصناعات الغذائية - STICKER JM CIRCULAR 20G SACHET</t>
  </si>
  <si>
    <t>022/1543</t>
  </si>
  <si>
    <t>شركة ارما للصابون والمنظفات - ريفولي هاند ووش روز 450 مل امامي وخلفي NEW</t>
  </si>
  <si>
    <t>022/1544</t>
  </si>
  <si>
    <t>022/1545</t>
  </si>
  <si>
    <t>022/1546</t>
  </si>
  <si>
    <t>022/1547</t>
  </si>
  <si>
    <t>022/1548</t>
  </si>
  <si>
    <t>022/1549</t>
  </si>
  <si>
    <t>شركة رويال كوزماتيك - ستيكر هاربيك باور بلس 450 مل امامي خصم 20%</t>
  </si>
  <si>
    <t>022/1550</t>
  </si>
  <si>
    <t>022/1551</t>
  </si>
  <si>
    <t>022/1552</t>
  </si>
  <si>
    <t>الصناعية والتجارية للصابون والكيماويات سيترا ايجيبت - DETTOL ANTIBACTERIAL 3X POWER FLOOR CLEANER 900ML_ LAVENDER (RBLB0053-RBLF0053)</t>
  </si>
  <si>
    <t>023/1553</t>
  </si>
  <si>
    <t>023/1554</t>
  </si>
  <si>
    <t>023/1555</t>
  </si>
  <si>
    <t>الصناعية والتجارية للصابون والكيماويات سيترا ايجيبت  - DETTOL ANTIBACTERIAL 3X POWER FLOOR CLEANER LAVENDER 900ML BACK (RBLB0053)</t>
  </si>
  <si>
    <t>023/1556</t>
  </si>
  <si>
    <t>Afia International - غير مهدرج GANNA MIX</t>
  </si>
  <si>
    <t>023/1557</t>
  </si>
  <si>
    <t>023/1558</t>
  </si>
  <si>
    <t>الدولية لتكنولوجيا البلاستيك جاما بلاست  ( MCR COATING )</t>
  </si>
  <si>
    <t>023/1559</t>
  </si>
  <si>
    <t>ميديا اليكتريك مصر ( MCR COATING )</t>
  </si>
  <si>
    <t>023/1560</t>
  </si>
  <si>
    <t>023/1561</t>
  </si>
  <si>
    <t>023/1562</t>
  </si>
  <si>
    <t>023/1563</t>
  </si>
  <si>
    <t>023/1564</t>
  </si>
  <si>
    <t>023/1565</t>
  </si>
  <si>
    <t>023/1566</t>
  </si>
  <si>
    <t>023/1567</t>
  </si>
  <si>
    <t>023/1568</t>
  </si>
  <si>
    <t>023/1569</t>
  </si>
  <si>
    <t>023/1570</t>
  </si>
  <si>
    <t>023/1571</t>
  </si>
  <si>
    <t>الدولية لمستحضرات التجميل ( MCR COATING )</t>
  </si>
  <si>
    <t>023/1572</t>
  </si>
  <si>
    <t>023/1573</t>
  </si>
  <si>
    <t xml:space="preserve">
 تواتش للتجارة والتوريدات  ( MCR COATING )
</t>
  </si>
  <si>
    <t>023/1574</t>
  </si>
  <si>
    <t>023/1575</t>
  </si>
  <si>
    <t>023/1576</t>
  </si>
  <si>
    <t>MY WAY-زيت الارجان المغربي للشعر 100 مل خلفي - امامي</t>
  </si>
  <si>
    <t>023/1577</t>
  </si>
  <si>
    <t>ADCO -MAXI STRONG DRAIN OPENER 250 GRS</t>
  </si>
  <si>
    <t>023/1579</t>
  </si>
  <si>
    <t>023/1580</t>
  </si>
  <si>
    <t>023/1581</t>
  </si>
  <si>
    <t>BAYAN</t>
  </si>
  <si>
    <t>023/1582</t>
  </si>
  <si>
    <t xml:space="preserve"> شركة ارما للصابون والمنظفات - دوش شاور جل اسود 1لتر امامي وخلفي</t>
  </si>
  <si>
    <t>023/1583</t>
  </si>
  <si>
    <t>ارما -دوش شاور جل اسود450 مل امامي وخلفي</t>
  </si>
  <si>
    <t>023/1584</t>
  </si>
  <si>
    <t>023/1585</t>
  </si>
  <si>
    <t>023/1586</t>
  </si>
  <si>
    <t>الصناعيه والتجاريه للصابون والكيماويات سيترا ايجيبت</t>
  </si>
  <si>
    <t>023/1587</t>
  </si>
  <si>
    <t>023/1588</t>
  </si>
  <si>
    <t>برتاية للمنتجات الغذائية ( MCR COATING )</t>
  </si>
  <si>
    <t>023/1589</t>
  </si>
  <si>
    <t>023/1590</t>
  </si>
  <si>
    <t>023/1591</t>
  </si>
  <si>
    <t>023/1592</t>
  </si>
  <si>
    <t>023/1593</t>
  </si>
  <si>
    <t>023/1594</t>
  </si>
  <si>
    <t>023/1595</t>
  </si>
  <si>
    <t>( MCR COATING ) BAYAN</t>
  </si>
  <si>
    <t>023/1596</t>
  </si>
  <si>
    <t>023/1597</t>
  </si>
  <si>
    <t>023/1598</t>
  </si>
  <si>
    <t>023/1599</t>
  </si>
  <si>
    <t>023/1600</t>
  </si>
  <si>
    <t>شركة ديكتو للهندسة والتجارة</t>
  </si>
  <si>
    <t>023/1601</t>
  </si>
  <si>
    <t>023/1602</t>
  </si>
  <si>
    <t>023/1603</t>
  </si>
  <si>
    <t>023/1604</t>
  </si>
  <si>
    <t>دي ام للتجارة والتوريدات</t>
  </si>
  <si>
    <t>023/1605</t>
  </si>
  <si>
    <t>023/1606</t>
  </si>
  <si>
    <t xml:space="preserve"> ( MCR COATING )يونيليفير مشرق للتجارة</t>
  </si>
  <si>
    <t>023/1607</t>
  </si>
  <si>
    <t>023/1608</t>
  </si>
  <si>
    <t>023/1609</t>
  </si>
  <si>
    <t xml:space="preserve"> ( MCR COATING )سامسونج  </t>
  </si>
  <si>
    <t>023/1610</t>
  </si>
  <si>
    <t>023/1611</t>
  </si>
  <si>
    <t>023/1612</t>
  </si>
  <si>
    <t>023/1613</t>
  </si>
  <si>
    <t>اوبال لمستحضرات التجميل  ( MCR COATING )</t>
  </si>
  <si>
    <t>023/1614</t>
  </si>
  <si>
    <t>ديتكو</t>
  </si>
  <si>
    <t>023/1615</t>
  </si>
  <si>
    <t>023/1616</t>
  </si>
  <si>
    <t>Perforation SAMSUNG</t>
  </si>
  <si>
    <t>023/1617</t>
  </si>
  <si>
    <t>023/1618</t>
  </si>
  <si>
    <t>023/1619</t>
  </si>
  <si>
    <t xml:space="preserve">بيوركس هلث كير الدوائية </t>
  </si>
  <si>
    <t>023/1620</t>
  </si>
  <si>
    <t>023/1621</t>
  </si>
  <si>
    <t>023/1622</t>
  </si>
  <si>
    <t>023/1623</t>
  </si>
  <si>
    <t>023/1624</t>
  </si>
  <si>
    <t xml:space="preserve"> ( MCR COATING)    سكن تون   </t>
  </si>
  <si>
    <t>023/1625</t>
  </si>
  <si>
    <t>023/1626</t>
  </si>
  <si>
    <t>023/1627</t>
  </si>
  <si>
    <t>023/1628</t>
  </si>
  <si>
    <t>023/1629</t>
  </si>
  <si>
    <t>يونيليفر مشرق للصناعة والتجارة</t>
  </si>
  <si>
    <t>023/1630</t>
  </si>
  <si>
    <t>023/1631</t>
  </si>
  <si>
    <t>023/1632</t>
  </si>
  <si>
    <t>DOVE</t>
  </si>
  <si>
    <t>023/1633</t>
  </si>
  <si>
    <t xml:space="preserve"> ( MCR COATING )العربي لصناعة اجهزة الطهي</t>
  </si>
  <si>
    <t>023/1634</t>
  </si>
  <si>
    <t>023/1635</t>
  </si>
  <si>
    <t>023/1636</t>
  </si>
  <si>
    <t>ادنوك مصر لتصنيع الزيوت والشحوم</t>
  </si>
  <si>
    <t>023/1637</t>
  </si>
  <si>
    <t>العربي للتجارة والصناعة العربي</t>
  </si>
  <si>
    <t>023/1638</t>
  </si>
  <si>
    <t>023/1639</t>
  </si>
  <si>
    <t>شركة ارما للصابون والمنظفات</t>
  </si>
  <si>
    <t>023/1640</t>
  </si>
  <si>
    <t>023/1641</t>
  </si>
  <si>
    <t>023/1642</t>
  </si>
  <si>
    <t>023/1643</t>
  </si>
  <si>
    <t>023/1644</t>
  </si>
  <si>
    <t>023/1645</t>
  </si>
  <si>
    <t>023/1646</t>
  </si>
  <si>
    <t>023/1647</t>
  </si>
  <si>
    <t>023/1648</t>
  </si>
  <si>
    <t>023/1649</t>
  </si>
  <si>
    <t>ايفا لمستحضرات التجميل</t>
  </si>
  <si>
    <t>023/1650</t>
  </si>
  <si>
    <t>فارما كروز ميديكال</t>
  </si>
  <si>
    <t>023/1651</t>
  </si>
  <si>
    <t>023/1652</t>
  </si>
  <si>
    <t>العربي للصناعات المنزلية</t>
  </si>
  <si>
    <t>023/1653</t>
  </si>
  <si>
    <t>023/1654</t>
  </si>
  <si>
    <t>023/1655</t>
  </si>
  <si>
    <t>023/1656</t>
  </si>
  <si>
    <t xml:space="preserve">Perforation die cutter SAMSUNG </t>
  </si>
  <si>
    <t>023/1657</t>
  </si>
  <si>
    <t>023/1658</t>
  </si>
  <si>
    <t>023/1659</t>
  </si>
  <si>
    <t>023/1660</t>
  </si>
  <si>
    <t>023/1663</t>
  </si>
  <si>
    <t>023/1664</t>
  </si>
  <si>
    <t>العربي للصناعات الهندسية</t>
  </si>
  <si>
    <t>023/1665</t>
  </si>
  <si>
    <t>023/1666</t>
  </si>
  <si>
    <t>المصرية لمستحضرات التجميل</t>
  </si>
  <si>
    <t>023/1667</t>
  </si>
  <si>
    <t>ايه يو اف ايجيبت لصناعة وتوزيع المكسرات</t>
  </si>
  <si>
    <t>023/1668</t>
  </si>
  <si>
    <t>023/1669</t>
  </si>
  <si>
    <t>023/1670</t>
  </si>
  <si>
    <t>023/1671</t>
  </si>
  <si>
    <t>023/1672</t>
  </si>
  <si>
    <t>023/1673</t>
  </si>
  <si>
    <t xml:space="preserve">شركة رويال كوزماتيك </t>
  </si>
  <si>
    <t>023/1674</t>
  </si>
  <si>
    <t xml:space="preserve">تواتش للتجارة والتوريدات </t>
  </si>
  <si>
    <t>023/1675</t>
  </si>
  <si>
    <t>023/1676</t>
  </si>
  <si>
    <t xml:space="preserve">يونيليفر مشرق للصناعة والتجارة </t>
  </si>
  <si>
    <t>023/1677</t>
  </si>
  <si>
    <t>023/1678</t>
  </si>
  <si>
    <t xml:space="preserve">توشيبا العربي للاجهزة المرئية </t>
  </si>
  <si>
    <t>023/1679</t>
  </si>
  <si>
    <t>جلوب للغزل والصباغة منطقة حرة خاصة</t>
  </si>
  <si>
    <t>023/1680</t>
  </si>
  <si>
    <t>023/1681</t>
  </si>
  <si>
    <t>هيرو للصناعات الغذائية</t>
  </si>
  <si>
    <t>023/1682</t>
  </si>
  <si>
    <t>023/1683</t>
  </si>
  <si>
    <t>تواتش للتجارة والتوريدات</t>
  </si>
  <si>
    <t>023/1684</t>
  </si>
  <si>
    <t>023/1685</t>
  </si>
  <si>
    <t>023/1686</t>
  </si>
  <si>
    <t>023/1687</t>
  </si>
  <si>
    <t>023/1688</t>
  </si>
  <si>
    <t>023/1689</t>
  </si>
  <si>
    <t>ايزي كير لمستحضرات التجميل</t>
  </si>
  <si>
    <t>023/1691</t>
  </si>
  <si>
    <t>023/1692</t>
  </si>
  <si>
    <t>023/1693</t>
  </si>
  <si>
    <t>023/1694</t>
  </si>
  <si>
    <t>023/1695</t>
  </si>
  <si>
    <t>023/1696</t>
  </si>
  <si>
    <t>023/1697</t>
  </si>
  <si>
    <t>023/1698</t>
  </si>
  <si>
    <t>الصناعية و التجارية للصابون والكيماويات سيترا ايجيبت</t>
  </si>
  <si>
    <t>023/1699</t>
  </si>
  <si>
    <t>023/1700</t>
  </si>
  <si>
    <t>023/1701</t>
  </si>
  <si>
    <t>023/1702</t>
  </si>
  <si>
    <t>023/1703</t>
  </si>
  <si>
    <t>023/1704</t>
  </si>
  <si>
    <t>023/1705</t>
  </si>
  <si>
    <t>023/1706</t>
  </si>
  <si>
    <t>023/1707</t>
  </si>
  <si>
    <t>023/1708</t>
  </si>
  <si>
    <t>023/1709</t>
  </si>
  <si>
    <t xml:space="preserve"> ايفا لمستحضرات التجميل </t>
  </si>
  <si>
    <t>023/1710</t>
  </si>
  <si>
    <t>023/1711</t>
  </si>
  <si>
    <t>023/1712</t>
  </si>
  <si>
    <t>023/1713</t>
  </si>
  <si>
    <t xml:space="preserve">بيوركس هلس كير الدوائية  </t>
  </si>
  <si>
    <t>023/1714</t>
  </si>
  <si>
    <t>شركة مدار جروب مصر للكيماويات</t>
  </si>
  <si>
    <t>023/1715</t>
  </si>
  <si>
    <t>023/1716</t>
  </si>
  <si>
    <t>023/1717</t>
  </si>
  <si>
    <t>023/1718</t>
  </si>
  <si>
    <t>023/1719</t>
  </si>
  <si>
    <t>023/1720</t>
  </si>
  <si>
    <t>023/1721</t>
  </si>
  <si>
    <t>023/1722</t>
  </si>
  <si>
    <t>024/1723</t>
  </si>
  <si>
    <t>024/1724</t>
  </si>
  <si>
    <t>024/1725</t>
  </si>
  <si>
    <t>024/1726</t>
  </si>
  <si>
    <t>024/1727</t>
  </si>
  <si>
    <t>024/1728</t>
  </si>
  <si>
    <t>024/1729</t>
  </si>
  <si>
    <t>024/1730</t>
  </si>
  <si>
    <t>024/1731</t>
  </si>
  <si>
    <t>024/1732</t>
  </si>
  <si>
    <t>024/1733</t>
  </si>
  <si>
    <t>024/1734</t>
  </si>
  <si>
    <t>024/1735</t>
  </si>
  <si>
    <t>024/1736</t>
  </si>
  <si>
    <t>024/1737</t>
  </si>
  <si>
    <t>024/1739</t>
  </si>
  <si>
    <t>024/1740</t>
  </si>
  <si>
    <t>024/1741</t>
  </si>
  <si>
    <t>024/1742</t>
  </si>
  <si>
    <t>024/1743</t>
  </si>
  <si>
    <t>024/1744</t>
  </si>
  <si>
    <t>024/1745</t>
  </si>
  <si>
    <t xml:space="preserve"> الصناعيه والتجاريه للصابون والكيماويات سيترا ايجيبت</t>
  </si>
  <si>
    <t>024/1746</t>
  </si>
  <si>
    <t>024/1747</t>
  </si>
  <si>
    <t>024/1748</t>
  </si>
  <si>
    <t>024/1749</t>
  </si>
  <si>
    <t>024/1750</t>
  </si>
  <si>
    <t>024/1751</t>
  </si>
  <si>
    <t>EVA</t>
  </si>
  <si>
    <t>024/1752</t>
  </si>
  <si>
    <t>024/1753</t>
  </si>
  <si>
    <t>024/1754</t>
  </si>
  <si>
    <t>024/1755</t>
  </si>
  <si>
    <t>024/1756</t>
  </si>
  <si>
    <t>024/1757</t>
  </si>
  <si>
    <t>024/1758</t>
  </si>
  <si>
    <t>024/1759</t>
  </si>
  <si>
    <t>024/1760</t>
  </si>
  <si>
    <t>024/1761</t>
  </si>
  <si>
    <t>024/1762</t>
  </si>
  <si>
    <t>024/1763</t>
  </si>
  <si>
    <t>024/1764</t>
  </si>
  <si>
    <t>024/1765</t>
  </si>
  <si>
    <t>024/1766</t>
  </si>
  <si>
    <t>024/1767</t>
  </si>
  <si>
    <t>024/1768</t>
  </si>
  <si>
    <t>024/1769</t>
  </si>
  <si>
    <t>024/1770</t>
  </si>
  <si>
    <t>024/1771</t>
  </si>
  <si>
    <t>024/1772</t>
  </si>
  <si>
    <t>024/1773</t>
  </si>
  <si>
    <t>024/1774</t>
  </si>
  <si>
    <t>024/1775</t>
  </si>
  <si>
    <t>024/1776</t>
  </si>
  <si>
    <t>024/1777</t>
  </si>
  <si>
    <t>024/1778</t>
  </si>
  <si>
    <t>024/1779</t>
  </si>
  <si>
    <t>024/1780</t>
  </si>
  <si>
    <t>024/1781</t>
  </si>
  <si>
    <t>024/1782</t>
  </si>
  <si>
    <t>024/1783</t>
  </si>
  <si>
    <t>024/1784</t>
  </si>
  <si>
    <t>024/1785</t>
  </si>
  <si>
    <t>024/1786</t>
  </si>
  <si>
    <t>024/1787</t>
  </si>
  <si>
    <t>024/1788</t>
  </si>
  <si>
    <t>024/1789</t>
  </si>
  <si>
    <t>024/1790</t>
  </si>
  <si>
    <t>024/1791</t>
  </si>
  <si>
    <t>024/1792</t>
  </si>
  <si>
    <t>024/1793</t>
  </si>
  <si>
    <t>FRONT</t>
  </si>
  <si>
    <t>024/1794</t>
  </si>
  <si>
    <t>BACK</t>
  </si>
  <si>
    <t>024/1795</t>
  </si>
  <si>
    <t>024/1796</t>
  </si>
  <si>
    <t>024/1797</t>
  </si>
  <si>
    <t>024/1798</t>
  </si>
  <si>
    <t>024/1799</t>
  </si>
  <si>
    <t>024/1800</t>
  </si>
  <si>
    <t>024/1801</t>
  </si>
  <si>
    <t>024/1802</t>
  </si>
  <si>
    <t>024/1803</t>
  </si>
  <si>
    <t>024/1804</t>
  </si>
  <si>
    <t>024/1805</t>
  </si>
  <si>
    <t>024/1806</t>
  </si>
  <si>
    <t>024/1807</t>
  </si>
  <si>
    <t>024/1808</t>
  </si>
  <si>
    <t>024/1809</t>
  </si>
  <si>
    <t>024/1810</t>
  </si>
  <si>
    <t>024/1811</t>
  </si>
  <si>
    <t>024/1812</t>
  </si>
  <si>
    <t>024/1813</t>
  </si>
  <si>
    <t>024/1814</t>
  </si>
  <si>
    <t>024/1815</t>
  </si>
  <si>
    <t>024/1816</t>
  </si>
  <si>
    <t>024/1817</t>
  </si>
  <si>
    <t>024/1818</t>
  </si>
  <si>
    <t>024/1819</t>
  </si>
  <si>
    <t>024/1820</t>
  </si>
  <si>
    <t>024/1821</t>
  </si>
  <si>
    <t>024/1822</t>
  </si>
  <si>
    <t>024/1823</t>
  </si>
  <si>
    <t>024/1824</t>
  </si>
  <si>
    <t>024/1825</t>
  </si>
  <si>
    <t>024/1826</t>
  </si>
  <si>
    <t>024/1827</t>
  </si>
  <si>
    <t>024/1829</t>
  </si>
  <si>
    <t>024/1830</t>
  </si>
  <si>
    <t>024/1831</t>
  </si>
  <si>
    <t>024/1832</t>
  </si>
  <si>
    <t>024/1833</t>
  </si>
  <si>
    <t>024/1834</t>
  </si>
  <si>
    <t>024/1835</t>
  </si>
  <si>
    <t>024/1836</t>
  </si>
  <si>
    <t>024/1837</t>
  </si>
  <si>
    <t>024/1838</t>
  </si>
  <si>
    <t>024/1839</t>
  </si>
  <si>
    <t>024/1840</t>
  </si>
  <si>
    <t>024/1841</t>
  </si>
  <si>
    <t>024/1842</t>
  </si>
  <si>
    <t>024/1843</t>
  </si>
  <si>
    <t>024/1844</t>
  </si>
  <si>
    <t>O20</t>
  </si>
  <si>
    <t>024/020</t>
  </si>
  <si>
    <t>المتحدة للطباعة والنشر</t>
  </si>
  <si>
    <t>WANTED LABELS</t>
  </si>
  <si>
    <t>DIE NO.</t>
  </si>
  <si>
    <t>TOTAL NO FROM DIE</t>
  </si>
  <si>
    <t>CYLINDER</t>
  </si>
  <si>
    <t>REPEAT</t>
  </si>
  <si>
    <t>MATERIAL</t>
  </si>
  <si>
    <t>COLOR</t>
  </si>
  <si>
    <t>AFTER COLOR</t>
  </si>
  <si>
    <t>REEL</t>
  </si>
  <si>
    <t>NO. OF REELS</t>
  </si>
  <si>
    <t>FOR REEL</t>
  </si>
  <si>
    <t>TOTAL</t>
  </si>
  <si>
    <t>LABEL WIDTH</t>
  </si>
  <si>
    <t>NO. ACROSS</t>
  </si>
  <si>
    <t>MATERIAL WIDTH</t>
  </si>
  <si>
    <t>MATERIAL P&amp;S</t>
  </si>
  <si>
    <t>MIN GAP</t>
  </si>
  <si>
    <t>LABEL LENGTH</t>
  </si>
  <si>
    <t>REPEAT L N</t>
  </si>
  <si>
    <t>الكمية المطلوبة</t>
  </si>
  <si>
    <t>مقاس الليبل</t>
  </si>
  <si>
    <t>الجاب</t>
  </si>
  <si>
    <t>التكرار</t>
  </si>
  <si>
    <t>الصافي المطلوب</t>
  </si>
  <si>
    <t>عدد الألوان</t>
  </si>
  <si>
    <t>البكر المطلوب</t>
  </si>
  <si>
    <t>الكمية الكلية</t>
  </si>
  <si>
    <t>التكرار بالمتر</t>
  </si>
  <si>
    <t>متر طولي</t>
  </si>
  <si>
    <t>سعر المتر المربع</t>
  </si>
  <si>
    <t>سعر اللون للمتر المربع</t>
  </si>
  <si>
    <t>WIDTH</t>
  </si>
  <si>
    <t>عرض الخامة</t>
  </si>
  <si>
    <t>متر مربع حقيقي</t>
  </si>
  <si>
    <t xml:space="preserve">الربح في المتر </t>
  </si>
  <si>
    <t>زيادة</t>
  </si>
  <si>
    <t>سعر حقيقي</t>
  </si>
  <si>
    <t xml:space="preserve">الربح في اللون </t>
  </si>
  <si>
    <t>سعر زيادة</t>
  </si>
  <si>
    <t>CYLINDER / REPEAT SELECTOR</t>
  </si>
  <si>
    <t>CYLINDER CANDIDATE ANALYSIS</t>
  </si>
  <si>
    <t>Cylinder Teeth</t>
  </si>
  <si>
    <t>Repeat (mm)</t>
  </si>
  <si>
    <t>Label Length (mm)</t>
  </si>
  <si>
    <t>Min Gap Target</t>
  </si>
  <si>
    <t>Actual Gap Around</t>
  </si>
  <si>
    <t>Gap Status</t>
  </si>
  <si>
    <t>Repeat Utilization %</t>
  </si>
  <si>
    <t>Material / Machine</t>
  </si>
  <si>
    <t>Compatibility</t>
  </si>
  <si>
    <t>Score</t>
  </si>
  <si>
    <t>Recommendation</t>
  </si>
  <si>
    <t>NARROW WEB</t>
  </si>
  <si>
    <t>SELECTED CYLINDER RESULT</t>
  </si>
  <si>
    <t>Recommended Cylinder Teeth</t>
  </si>
  <si>
    <t>Recommended Repeat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</si>
</sst>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_(* #,##0_);_(* \(#,##0\);_(* &quot;-&quot;??_);_(@_)"/>
  </numFmts>
  <fonts count="14">
    <font>
      <sz val="11.0"/>
      <color/>
      <name val="Arial"/>
      <scheme val="minor"/>
    </font>
    <font>
      <b/>
      <sz val="16.0"/>
      <color rgb="FFFFFFFF"/>
      <name val="Calibri"/>
    </font>
    <font/>
    <font>
      <b/>
      <sz val="11.0"/>
      <color rgb="FFFFFFFF"/>
      <name val="Calibri"/>
    </font>
    <font>
      <b/>
      <sz val="11.0"/>
      <name val="Calibri"/>
    </font>
    <font>
      <sz val="11.0"/>
      <color/>
      <name val="Calibri"/>
    </font>
    <font>
      <sz val="12.0"/>
      <color rgb="FF0D0D0D"/>
      <name val="Quattrocento Sans"/>
    </font>
    <font>
      <b/>
      <sz val="11.0"/>
      <color/>
      <name val="Calibri"/>
    </font>
    <font>
      <b/>
      <sz val="14.0"/>
      <color/>
      <name val="Calibri"/>
    </font>
    <font>
      <sz val="12.0"/>
      <color/>
      <name val="Calibri"/>
    </font>
    <font>
      <b/>
      <sz val="12.0"/>
      <color/>
      <name val="Calibri"/>
    </font>
    <font>
      <i/>
      <sz val="12.0"/>
      <color/>
      <name val="Calibri"/>
    </font>
    <font>
      <b/>
      <i/>
      <sz val="12.0"/>
      <color/>
      <name val="Calibri"/>
    </font>
    <font>
      <b/>
      <sz val="16.0"/>
      <color/>
      <name val="Calibri"/>
    </font>
  </fonts>
  <fills count="20">
    <fill>
      <patternFill patternType="none"/>
    </fill>
    <fill>
      <patternFill patternType="lightGray"/>
    </fill>
    <fill>
      <patternFill patternType="solid">
        <fgColor rgb="FF17365D"/>
        <bgColor rgb="FF17365D"/>
      </patternFill>
    </fill>
    <fill>
      <patternFill patternType="solid">
        <fgColor rgb="FF1F4E78"/>
        <bgColor rgb="FF1F4E78"/>
      </patternFill>
    </fill>
    <fill>
      <patternFill patternType="solid">
        <fgColor rgb="FF0C0C0C"/>
        <bgColor rgb="FF0C0C0C"/>
      </patternFill>
    </fill>
    <fill>
      <patternFill patternType="solid">
        <fgColor rgb="FFFFF2CC"/>
        <bgColor rgb="FFFFF2CC"/>
      </patternFill>
    </fill>
    <fill>
      <patternFill patternType="solid">
        <fgColor rgb="FFE2F0D9"/>
        <bgColor rgb="FFE2F0D9"/>
      </patternFill>
    </fill>
    <fill>
      <patternFill patternType="solid">
        <fgColor rgb="FFFFFF99"/>
        <bgColor rgb="FFFFFF99"/>
      </patternFill>
    </fill>
    <fill>
      <patternFill patternType="solid">
        <fgColor rgb="FFFFFF00"/>
        <bgColor rgb="FFFFFF00"/>
      </patternFill>
    </fill>
    <fill>
      <patternFill patternType="solid">
        <fgColor rgb="FFFF3B3B"/>
        <bgColor rgb="FFFF3B3B"/>
      </patternFill>
    </fill>
    <fill>
      <patternFill patternType="solid">
        <fgColor rgb="FFFF0000"/>
        <bgColor rgb="FFFF0000"/>
      </patternFill>
    </fill>
    <fill>
      <patternFill patternType="solid">
        <fgColor rgb="FF92CDDC"/>
        <bgColor rgb="FF92CDDC"/>
      </patternFill>
    </fill>
    <fill>
      <patternFill patternType="solid">
        <fgColor rgb="FF31859B"/>
        <bgColor rgb="FF31859B"/>
      </patternFill>
    </fill>
    <fill>
      <patternFill patternType="solid">
        <fgColor rgb="FFD8D8D8"/>
        <bgColor rgb="FFD8D8D8"/>
      </patternFill>
    </fill>
    <fill>
      <patternFill patternType="solid">
        <fgColor rgb="FF66FF66"/>
        <bgColor rgb="FF66FF66"/>
      </patternFill>
    </fill>
    <fill>
      <patternFill patternType="solid">
        <fgColor rgb="FF244061"/>
        <bgColor rgb="FF244061"/>
      </patternFill>
    </fill>
    <fill>
      <patternFill patternType="solid">
        <fgColor rgb="FF595959"/>
        <bgColor rgb="FF595959"/>
      </patternFill>
    </fill>
    <fill>
      <patternFill patternType="solid">
        <fgColor rgb="FFC00000"/>
        <bgColor rgb="FFC00000"/>
      </patternFill>
    </fill>
    <fill>
      <patternFill patternType="solid">
        <fgColor rgb="FF205867"/>
        <bgColor rgb="FF205867"/>
      </patternFill>
    </fill>
    <fill>
      <patternFill patternType="solid">
        <fgColor rgb="FF3F3151"/>
        <bgColor rgb="FF3F3151"/>
      </patternFill>
    </fill>
  </fills>
  <borders count="66">
    <border/>
    <border>
      <left style="thin">
        <color rgb="FFB7B7B7"/>
      </left>
      <top style="thin">
        <color rgb="FFB7B7B7"/>
      </top>
      <bottom style="thin">
        <color rgb="FFB7B7B7"/>
      </bottom>
    </border>
    <border>
      <top style="thin">
        <color rgb="FFB7B7B7"/>
      </top>
      <bottom style="thin">
        <color rgb="FFB7B7B7"/>
      </bottom>
    </border>
    <border>
      <right style="thin">
        <color rgb="FFB7B7B7"/>
      </right>
      <top style="thin">
        <color rgb="FFB7B7B7"/>
      </top>
      <bottom style="thin">
        <color rgb="FFB7B7B7"/>
      </bottom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</border>
    <border>
      <left style="thin">
        <color rgb="FFB7B7B7"/>
      </left>
      <top style="thin">
        <color rgb="FFB7B7B7"/>
      </top>
      <bottom/>
    </border>
    <border>
      <top style="thin">
        <color rgb="FFB7B7B7"/>
      </top>
      <bottom/>
    </border>
    <border>
      <right/>
      <top style="thin">
        <color rgb="FFB7B7B7"/>
      </top>
      <bottom/>
    </border>
    <border>
      <left style="thin">
        <color rgb="FF000000"/>
      </left>
      <right style="thin">
        <color rgb="FFB7B7B7"/>
      </right>
      <top style="thin">
        <color rgb="FFB7B7B7"/>
      </top>
      <bottom style="thin">
        <color rgb="FFB7B7B7"/>
      </bottom>
    </border>
    <border>
      <left style="thin">
        <color rgb="FFB7B7B7"/>
      </left>
      <right style="thin">
        <color rgb="FFB7B7B7"/>
      </right>
      <top style="thin">
        <color rgb="FFB7B7B7"/>
      </top>
      <bottom/>
    </border>
    <border>
      <left style="thin">
        <color rgb="FFB7B7B7"/>
      </left>
      <right style="thin">
        <color rgb="FF000000"/>
      </right>
      <top style="thin">
        <color rgb="FFB7B7B7"/>
      </top>
      <bottom style="thin">
        <color rgb="FFB7B7B7"/>
      </bottom>
    </border>
    <border>
      <left style="thin">
        <color rgb="FFB7B7B7"/>
      </left>
      <right style="thin">
        <color rgb="FFB7B7B7"/>
      </right>
      <top style="thin">
        <color rgb="FF3F3F3F"/>
      </top>
      <bottom/>
    </border>
    <border>
      <left style="thin">
        <color rgb="FFB7B7B7"/>
      </left>
      <right style="thin">
        <color rgb="FFB7B7B7"/>
      </right>
      <top style="thin">
        <color rgb="FF3F3F3F"/>
      </top>
      <bottom style="thin">
        <color rgb="FF3F3F3F"/>
      </bottom>
    </border>
    <border>
      <left style="thin">
        <color rgb="FF000000"/>
      </left>
      <right style="thin">
        <color rgb="FFB7B7B7"/>
      </right>
      <top style="thin">
        <color rgb="FFB7B7B7"/>
      </top>
      <bottom style="thin">
        <color rgb="FF000000"/>
      </bottom>
    </border>
    <border>
      <left style="thin">
        <color rgb="FFB7B7B7"/>
      </left>
      <right style="thin">
        <color rgb="FFB7B7B7"/>
      </right>
      <top/>
      <bottom style="thin">
        <color rgb="FF000000"/>
      </bottom>
    </border>
    <border>
      <left style="thin">
        <color rgb="FFB7B7B7"/>
      </left>
      <right style="thin">
        <color rgb="FF000000"/>
      </right>
      <top style="thin">
        <color rgb="FFB7B7B7"/>
      </top>
      <bottom style="thin">
        <color rgb="FF000000"/>
      </bottom>
    </border>
    <border>
      <left style="thin">
        <color rgb="FF000000"/>
      </left>
      <right style="thin">
        <color rgb="FFB7B7B7"/>
      </right>
      <bottom style="thin">
        <color rgb="FFB7B7B7"/>
      </bottom>
    </border>
    <border>
      <left style="thin">
        <color rgb="FFB7B7B7"/>
      </left>
      <right style="thin">
        <color rgb="FFB7B7B7"/>
      </right>
      <top/>
      <bottom/>
    </border>
    <border>
      <left style="thin">
        <color rgb="FFB7B7B7"/>
      </left>
      <right style="thin">
        <color rgb="FF000000"/>
      </right>
      <bottom style="thin">
        <color rgb="FFB7B7B7"/>
      </bottom>
    </border>
    <border>
      <left style="thin">
        <color rgb="FFB7B7B7"/>
      </left>
      <right style="thin">
        <color rgb="FFB7B7B7"/>
      </right>
      <top style="thin">
        <color rgb="FF3F3F3F"/>
      </top>
      <bottom style="thin">
        <color rgb="FF000000"/>
      </bottom>
    </border>
    <border>
      <left style="thin">
        <color rgb="FFB7B7B7"/>
      </left>
      <right style="thin">
        <color rgb="FFB7B7B7"/>
      </right>
      <top style="thin">
        <color rgb="FF000000"/>
      </top>
      <bottom style="thin">
        <color rgb="FF3F3F3F"/>
      </bottom>
    </border>
    <border>
      <left style="thin">
        <color rgb="FF000000"/>
      </left>
      <top style="thin">
        <color rgb="FF000000"/>
      </top>
      <bottom style="thin">
        <color rgb="FFB7B7B7"/>
      </bottom>
    </border>
    <border>
      <left style="thin">
        <color rgb="FF7F7F7F"/>
      </left>
      <right style="thin">
        <color rgb="FF7F7F7F"/>
      </right>
      <top style="thin">
        <color rgb="FF000000"/>
      </top>
      <bottom style="thin">
        <color rgb="FF7F7F7F"/>
      </bottom>
    </border>
    <border>
      <right style="thin">
        <color rgb="FF000000"/>
      </right>
      <top style="thin">
        <color rgb="FF000000"/>
      </top>
      <bottom style="thin">
        <color rgb="FFB7B7B7"/>
      </bottom>
    </border>
    <border>
      <left style="thin">
        <color rgb="FF000000"/>
      </left>
      <top style="thin">
        <color rgb="FFB7B7B7"/>
      </top>
      <bottom style="thin">
        <color rgb="FFB7B7B7"/>
      </bottom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</border>
    <border>
      <right style="thin">
        <color rgb="FF000000"/>
      </right>
      <top style="thin">
        <color rgb="FFB7B7B7"/>
      </top>
      <bottom style="thin">
        <color rgb="FFB7B7B7"/>
      </bottom>
    </border>
    <border>
      <left style="thin">
        <color rgb="FF000000"/>
      </left>
      <top style="thin">
        <color rgb="FFB7B7B7"/>
      </top>
      <bottom style="thin">
        <color rgb="FF000000"/>
      </bottom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000000"/>
      </bottom>
    </border>
    <border>
      <right style="thin">
        <color rgb="FF000000"/>
      </right>
      <top style="thin">
        <color rgb="FFB7B7B7"/>
      </top>
      <bottom style="thin">
        <color rgb="FF000000"/>
      </bottom>
    </border>
    <border>
      <left style="thin">
        <color rgb="FF000000"/>
      </left>
      <right style="thin">
        <color rgb="FFB7B7B7"/>
      </right>
      <top style="thin">
        <color rgb="FF000000"/>
      </top>
      <bottom style="thin">
        <color rgb="FFB7B7B7"/>
      </bottom>
    </border>
    <border>
      <left style="thin">
        <color rgb="FFB7B7B7"/>
      </left>
      <right style="thin">
        <color rgb="FF000000"/>
      </right>
      <top style="thin">
        <color rgb="FF000000"/>
      </top>
      <bottom style="thin">
        <color rgb="FFB7B7B7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/>
    </border>
    <border>
      <right style="thin">
        <color rgb="FFB7B7B7"/>
      </right>
      <top style="thin">
        <color rgb="FFB7B7B7"/>
      </top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 style="thick">
        <color rgb="FF244061"/>
      </left>
      <top style="thick">
        <color rgb="FF244061"/>
      </top>
      <bottom style="thick">
        <color rgb="FF244061"/>
      </bottom>
    </border>
    <border>
      <top style="thick">
        <color rgb="FF244061"/>
      </top>
      <bottom style="thick">
        <color rgb="FF244061"/>
      </bottom>
    </border>
    <border>
      <right style="thick">
        <color/>
      </right>
      <top style="thick">
        <color rgb="FF244061"/>
      </top>
      <bottom style="thick">
        <color rgb="FF244061"/>
      </bottom>
    </border>
    <border>
      <left/>
      <top style="thick">
        <color rgb="FF244061"/>
      </top>
      <bottom style="thick">
        <color rgb="FF244061"/>
      </bottom>
    </border>
    <border>
      <right style="thick">
        <color rgb="FF244061"/>
      </right>
      <top style="thick">
        <color rgb="FF244061"/>
      </top>
      <bottom style="thick">
        <color rgb="FF244061"/>
      </bottom>
    </border>
    <border>
      <right style="thick">
        <color/>
      </right>
    </border>
    <border>
      <left/>
      <right/>
      <top/>
      <bottom/>
    </border>
    <border>
      <left style="thick">
        <color/>
      </left>
      <top style="thick">
        <color/>
      </top>
      <bottom/>
    </border>
    <border>
      <top style="thick">
        <color/>
      </top>
      <bottom/>
    </border>
    <border>
      <right style="thick">
        <color/>
      </right>
      <top style="thick">
        <color/>
      </top>
      <bottom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/>
      <right style="thick">
        <color/>
      </right>
      <top/>
      <bottom/>
    </border>
    <border>
      <bottom style="thick">
        <color rgb="FF244061"/>
      </bottom>
    </border>
    <border>
      <left style="thick">
        <color/>
      </left>
      <right style="thin">
        <color rgb="FFB7B7B7"/>
      </right>
      <top/>
      <bottom style="thick">
        <color/>
      </bottom>
    </border>
    <border>
      <left style="thin">
        <color rgb="FFB7B7B7"/>
      </left>
      <right style="thin">
        <color rgb="FFB7B7B7"/>
      </right>
      <top/>
      <bottom style="thick">
        <color/>
      </bottom>
    </border>
    <border>
      <left style="thin">
        <color rgb="FFB7B7B7"/>
      </left>
      <right/>
      <top/>
      <bottom style="thick">
        <color/>
      </bottom>
    </border>
    <border>
      <left style="thin">
        <color rgb="FFB7B7B7"/>
      </left>
      <right style="thick">
        <color/>
      </right>
      <top/>
      <bottom style="thick">
        <color/>
      </bottom>
    </border>
    <border>
      <left style="thick">
        <color/>
      </left>
      <right style="thin">
        <color rgb="FFB7B7B7"/>
      </right>
      <top style="thick">
        <color/>
      </top>
      <bottom style="thick">
        <color/>
      </bottom>
    </border>
    <border>
      <left style="thin">
        <color rgb="FFB7B7B7"/>
      </left>
      <right style="thin">
        <color rgb="FFB7B7B7"/>
      </right>
      <top style="thick">
        <color/>
      </top>
      <bottom style="thick">
        <color/>
      </bottom>
    </border>
    <border>
      <left style="thin">
        <color rgb="FFB7B7B7"/>
      </left>
      <right/>
      <top style="thick">
        <color/>
      </top>
      <bottom style="thick">
        <color/>
      </bottom>
    </border>
    <border>
      <left style="thin">
        <color rgb="FFB7B7B7"/>
      </left>
      <right style="thick">
        <color/>
      </right>
      <top style="thick">
        <color/>
      </top>
      <bottom style="thick">
        <color/>
      </bottom>
    </border>
    <border>
      <left style="thick">
        <color/>
      </left>
      <right style="thin">
        <color rgb="FFB7B7B7"/>
      </right>
      <top/>
      <bottom/>
    </border>
    <border>
      <left style="thin">
        <color rgb="FFB7B7B7"/>
      </left>
      <right/>
      <top/>
      <bottom/>
    </border>
    <border>
      <left style="thick">
        <color/>
      </left>
      <right style="thick">
        <color/>
      </right>
      <top/>
      <bottom style="thick">
        <color/>
      </bottom>
    </border>
    <border>
      <left/>
      <right style="thin">
        <color rgb="FFB7B7B7"/>
      </right>
      <top/>
      <bottom style="thick">
        <color/>
      </bottom>
    </border>
  </borders>
  <cellStyleXfs count="1">
    <xf borderId="0" fillId="0" fontId="0" numFmtId="0" applyAlignment="1" applyFont="1"/>
  </cellStyleXfs>
  <cellXfs count="12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/>
    </xf>
    <xf borderId="2" fillId="0" fontId="2" numFmtId="0" xfId="0" applyBorder="1" applyFont="1"/>
    <xf borderId="3" fillId="0" fontId="2" numFmtId="0" xfId="0" applyBorder="1" applyFont="1"/>
    <xf borderId="1" fillId="3" fontId="3" numFmtId="0" xfId="0" applyAlignment="1" applyBorder="1" applyFill="1" applyFont="1">
      <alignment shrinkToFit="0" vertical="center" wrapText="1"/>
    </xf>
    <xf borderId="4" fillId="0" fontId="4" numFmtId="0" xfId="0" applyAlignment="1" applyBorder="1" applyFont="1">
      <alignment shrinkToFit="0" vertical="center" wrapText="1"/>
    </xf>
    <xf borderId="1" fillId="0" fontId="5" numFmtId="0" xfId="0" applyAlignment="1" applyBorder="1" applyFont="1">
      <alignment shrinkToFit="0" vertical="center" wrapText="1"/>
    </xf>
    <xf borderId="5" fillId="4" fontId="1" numFmtId="0" xfId="0" applyAlignment="1" applyBorder="1" applyFill="1" applyFont="1">
      <alignment horizontal="center"/>
    </xf>
    <xf borderId="6" fillId="0" fontId="2" numFmtId="0" xfId="0" applyBorder="1" applyFont="1"/>
    <xf borderId="7" fillId="0" fontId="2" numFmtId="0" xfId="0" applyBorder="1" applyFont="1"/>
    <xf borderId="0" fillId="0" fontId="5" numFmtId="0" xfId="0" applyFont="1"/>
    <xf borderId="5" fillId="4" fontId="3" numFmtId="0" xfId="0" applyAlignment="1" applyBorder="1" applyFill="1" applyFont="1">
      <alignment shrinkToFit="0" vertical="center" wrapText="1"/>
    </xf>
    <xf borderId="8" fillId="0" fontId="5" numFmtId="0" xfId="0" applyAlignment="1" applyBorder="1" applyFont="1">
      <alignment shrinkToFit="0" vertical="center" wrapText="1"/>
    </xf>
    <xf borderId="9" fillId="5" fontId="5" numFmtId="0" xfId="0" applyAlignment="1" applyBorder="1" applyFill="1" applyFont="1">
      <alignment shrinkToFit="0" vertical="center" wrapText="1"/>
    </xf>
    <xf borderId="10" fillId="0" fontId="5" numFmtId="0" xfId="0" applyAlignment="1" applyBorder="1" applyFont="1">
      <alignment shrinkToFit="0" vertical="center" wrapText="1"/>
    </xf>
    <xf borderId="11" fillId="5" fontId="5" numFmtId="0" xfId="0" applyAlignment="1" applyBorder="1" applyFill="1" applyFont="1">
      <alignment shrinkToFit="0" vertical="center" wrapText="1"/>
    </xf>
    <xf borderId="12" fillId="5" fontId="5" numFmtId="0" xfId="0" applyAlignment="1" applyBorder="1" applyFill="1" applyFont="1">
      <alignment shrinkToFit="0" vertical="center" wrapText="1"/>
    </xf>
    <xf borderId="13" fillId="0" fontId="5" numFmtId="0" xfId="0" applyAlignment="1" applyBorder="1" applyFont="1">
      <alignment shrinkToFit="0" vertical="center" wrapText="1"/>
    </xf>
    <xf borderId="14" fillId="5" fontId="5" numFmtId="0" xfId="0" applyAlignment="1" applyBorder="1" applyFill="1" applyFont="1">
      <alignment shrinkToFit="0" vertical="center" wrapText="1"/>
    </xf>
    <xf borderId="15" fillId="0" fontId="5" numFmtId="0" xfId="0" applyAlignment="1" applyBorder="1" applyFont="1">
      <alignment shrinkToFit="0" vertical="center" wrapText="1"/>
    </xf>
    <xf borderId="16" fillId="0" fontId="5" numFmtId="0" xfId="0" applyAlignment="1" applyBorder="1" applyFont="1">
      <alignment shrinkToFit="0" vertical="center" wrapText="1"/>
    </xf>
    <xf borderId="17" fillId="5" fontId="5" numFmtId="0" xfId="0" applyAlignment="1" applyBorder="1" applyFill="1" applyFont="1">
      <alignment shrinkToFit="0" vertical="center" wrapText="1"/>
    </xf>
    <xf borderId="18" fillId="0" fontId="5" numFmtId="0" xfId="0" applyAlignment="1" applyBorder="1" applyFont="1">
      <alignment shrinkToFit="0" vertical="center" wrapText="1"/>
    </xf>
    <xf borderId="19" fillId="5" fontId="5" numFmtId="0" xfId="0" applyAlignment="1" applyBorder="1" applyFill="1" applyFont="1">
      <alignment shrinkToFit="0" vertical="center" wrapText="1"/>
    </xf>
    <xf borderId="20" fillId="5" fontId="5" numFmtId="0" xfId="0" applyAlignment="1" applyBorder="1" applyFill="1" applyFont="1">
      <alignment shrinkToFit="0" vertical="center" wrapText="1"/>
    </xf>
    <xf borderId="21" fillId="0" fontId="5" numFmtId="0" xfId="0" applyAlignment="1" applyBorder="1" applyFont="1">
      <alignment shrinkToFit="0" vertical="center" wrapText="1"/>
    </xf>
    <xf borderId="22" fillId="0" fontId="6" numFmtId="0" xfId="0" applyBorder="1" applyFont="1"/>
    <xf borderId="23" fillId="0" fontId="5" numFmtId="0" xfId="0" applyAlignment="1" applyBorder="1" applyFont="1">
      <alignment shrinkToFit="0" vertical="center" wrapText="1"/>
    </xf>
    <xf borderId="24" fillId="0" fontId="5" numFmtId="0" xfId="0" applyAlignment="1" applyBorder="1" applyFont="1">
      <alignment shrinkToFit="0" vertical="center" wrapText="1"/>
    </xf>
    <xf borderId="25" fillId="0" fontId="6" numFmtId="0" xfId="0" applyBorder="1" applyFont="1"/>
    <xf borderId="26" fillId="0" fontId="5" numFmtId="0" xfId="0" applyAlignment="1" applyBorder="1" applyFont="1">
      <alignment shrinkToFit="0" vertical="center" wrapText="1"/>
    </xf>
    <xf borderId="25" fillId="5" fontId="5" numFmtId="0" xfId="0" applyAlignment="1" applyBorder="1" applyFill="1" applyFont="1">
      <alignment shrinkToFit="0" vertical="center" wrapText="1"/>
    </xf>
    <xf borderId="27" fillId="0" fontId="5" numFmtId="0" xfId="0" applyAlignment="1" applyBorder="1" applyFont="1">
      <alignment shrinkToFit="0" vertical="center" wrapText="1"/>
    </xf>
    <xf borderId="28" fillId="5" fontId="5" numFmtId="0" xfId="0" applyAlignment="1" applyBorder="1" applyFill="1" applyFont="1">
      <alignment shrinkToFit="0" vertical="center" wrapText="1"/>
    </xf>
    <xf borderId="29" fillId="0" fontId="5" numFmtId="0" xfId="0" applyAlignment="1" applyBorder="1" applyFont="1">
      <alignment shrinkToFit="0" vertical="center" wrapText="1"/>
    </xf>
    <xf borderId="30" fillId="0" fontId="5" numFmtId="0" xfId="0" applyAlignment="1" applyBorder="1" applyFont="1">
      <alignment shrinkToFit="0" vertical="center" wrapText="1"/>
    </xf>
    <xf borderId="31" fillId="6" fontId="5" numFmtId="0" xfId="0" applyAlignment="1" applyBorder="1" applyFill="1" applyFont="1">
      <alignment shrinkToFit="0" vertical="center" wrapText="1"/>
    </xf>
    <xf borderId="10" fillId="6" fontId="5" numFmtId="0" xfId="0" applyAlignment="1" applyBorder="1" applyFill="1" applyFont="1">
      <alignment shrinkToFit="0" vertical="center" wrapText="1"/>
    </xf>
    <xf borderId="15" fillId="6" fontId="5" numFmtId="0" xfId="0" applyAlignment="1" applyBorder="1" applyFill="1" applyFont="1">
      <alignment shrinkToFit="0" vertical="center" wrapText="1"/>
    </xf>
    <xf borderId="32" fillId="0" fontId="5" numFmtId="0" xfId="0" applyAlignment="1" applyBorder="1" applyFont="1">
      <alignment shrinkToFit="0" vertical="center" wrapText="1"/>
    </xf>
    <xf borderId="32" fillId="5" fontId="5" numFmtId="0" xfId="0" applyAlignment="1" applyBorder="1" applyFill="1" applyFont="1">
      <alignment shrinkToFit="0" vertical="center" wrapText="1"/>
    </xf>
    <xf borderId="3" fillId="0" fontId="5" numFmtId="0" xfId="0" applyAlignment="1" applyBorder="1" applyFont="1">
      <alignment shrinkToFit="0" vertical="center" wrapText="1"/>
    </xf>
    <xf borderId="33" fillId="5" fontId="5" numFmtId="0" xfId="0" applyAlignment="1" applyBorder="1" applyFill="1" applyFont="1">
      <alignment shrinkToFit="0" vertical="center" wrapText="1"/>
    </xf>
    <xf borderId="34" fillId="0" fontId="5" numFmtId="0" xfId="0" applyAlignment="1" applyBorder="1" applyFont="1">
      <alignment shrinkToFit="0" vertical="center" wrapText="1"/>
    </xf>
    <xf borderId="32" fillId="7" fontId="5" numFmtId="0" xfId="0" applyAlignment="1" applyBorder="1" applyFill="1" applyFont="1">
      <alignment shrinkToFit="0" vertical="center" wrapText="1"/>
    </xf>
    <xf borderId="32" fillId="8" fontId="5" numFmtId="164" xfId="0" applyAlignment="1" applyBorder="1" applyFill="1" applyFont="1" applyNumberFormat="1">
      <alignment shrinkToFit="0" vertical="center" wrapText="1"/>
    </xf>
    <xf borderId="32" fillId="8" fontId="5" numFmtId="0" xfId="0" applyAlignment="1" applyBorder="1" applyFill="1" applyFont="1">
      <alignment shrinkToFit="0" vertical="center" wrapText="1"/>
    </xf>
    <xf borderId="33" fillId="8" fontId="5" numFmtId="0" xfId="0" applyAlignment="1" applyBorder="1" applyFill="1" applyFont="1">
      <alignment shrinkToFit="0" vertical="center" wrapText="1"/>
    </xf>
    <xf borderId="35" fillId="8" fontId="5" numFmtId="0" xfId="0" applyAlignment="1" applyBorder="1" applyFill="1" applyFont="1">
      <alignment shrinkToFit="0" vertical="center" wrapText="1"/>
    </xf>
    <xf borderId="32" fillId="9" fontId="5" numFmtId="0" xfId="0" applyAlignment="1" applyBorder="1" applyFill="1" applyFont="1">
      <alignment shrinkToFit="0" vertical="center" wrapText="1"/>
    </xf>
    <xf borderId="33" fillId="10" fontId="5" numFmtId="0" xfId="0" applyAlignment="1" applyBorder="1" applyFill="1" applyFont="1">
      <alignment shrinkToFit="0" vertical="center" wrapText="1"/>
    </xf>
    <xf borderId="32" fillId="10" fontId="5" numFmtId="0" xfId="0" applyAlignment="1" applyBorder="1" applyFill="1" applyFont="1">
      <alignment shrinkToFit="0" vertical="center" wrapText="1"/>
    </xf>
    <xf borderId="36" fillId="10" fontId="5" numFmtId="0" xfId="0" applyAlignment="1" applyBorder="1" applyFill="1" applyFont="1">
      <alignment shrinkToFit="0" vertical="center" wrapText="1"/>
    </xf>
    <xf borderId="32" fillId="11" fontId="5" numFmtId="0" xfId="0" applyAlignment="1" applyBorder="1" applyFill="1" applyFont="1">
      <alignment shrinkToFit="0" vertical="center" wrapText="1"/>
    </xf>
    <xf borderId="32" fillId="11" fontId="7" numFmtId="0" xfId="0" applyAlignment="1" applyBorder="1" applyFill="1" applyFont="1">
      <alignment shrinkToFit="0" vertical="center" wrapText="1"/>
    </xf>
    <xf borderId="35" fillId="11" fontId="5" numFmtId="0" xfId="0" applyAlignment="1" applyBorder="1" applyFill="1" applyFont="1">
      <alignment shrinkToFit="0" vertical="center" wrapText="1"/>
    </xf>
    <xf borderId="37" fillId="11" fontId="7" numFmtId="0" xfId="0" applyAlignment="1" applyBorder="1" applyFill="1" applyFont="1">
      <alignment shrinkToFit="0" vertical="center" wrapText="1"/>
    </xf>
    <xf borderId="32" fillId="8" fontId="5" numFmtId="0" xfId="0" applyBorder="1" applyFill="1" applyFont="1"/>
    <xf borderId="32" fillId="8" fontId="5" numFmtId="1" xfId="0" applyBorder="1" applyFill="1" applyFont="1" applyNumberFormat="1"/>
    <xf borderId="32" fillId="12" fontId="5" numFmtId="0" xfId="0" applyAlignment="1" applyBorder="1" applyFill="1" applyFont="1">
      <alignment shrinkToFit="0" vertical="center" wrapText="1"/>
    </xf>
    <xf borderId="32" fillId="12" fontId="5" numFmtId="164" xfId="0" applyAlignment="1" applyBorder="1" applyFill="1" applyFont="1" applyNumberFormat="1">
      <alignment shrinkToFit="0" vertical="center" wrapText="1"/>
    </xf>
    <xf borderId="25" fillId="10" fontId="5" numFmtId="0" xfId="0" applyAlignment="1" applyBorder="1" applyFill="1" applyFont="1">
      <alignment shrinkToFit="0" vertical="center" wrapText="1"/>
    </xf>
    <xf borderId="38" fillId="4" fontId="1" numFmtId="0" xfId="0" applyAlignment="1" applyBorder="1" applyFill="1" applyFont="1">
      <alignment horizontal="center"/>
    </xf>
    <xf borderId="39" fillId="0" fontId="2" numFmtId="0" xfId="0" applyBorder="1" applyFont="1"/>
    <xf borderId="40" fillId="0" fontId="2" numFmtId="0" xfId="0" applyBorder="1" applyFont="1"/>
    <xf borderId="41" fillId="4" fontId="1" numFmtId="0" xfId="0" applyAlignment="1" applyBorder="1" applyFill="1" applyFont="1">
      <alignment horizontal="center"/>
    </xf>
    <xf borderId="42" fillId="0" fontId="2" numFmtId="0" xfId="0" applyBorder="1" applyFont="1"/>
    <xf borderId="43" fillId="0" fontId="5" numFmtId="0" xfId="0" applyBorder="1" applyFont="1"/>
    <xf borderId="44" fillId="0" fontId="5" numFmtId="0" xfId="0" applyBorder="1" applyFont="1"/>
    <xf borderId="45" fillId="0" fontId="3" numFmtId="0" xfId="0" applyAlignment="1" applyBorder="1" applyFont="1">
      <alignment shrinkToFit="0" vertical="center" wrapText="1"/>
    </xf>
    <xf borderId="46" fillId="0" fontId="2" numFmtId="0" xfId="0" applyBorder="1" applyFont="1"/>
    <xf borderId="47" fillId="0" fontId="2" numFmtId="0" xfId="0" applyBorder="1" applyFont="1"/>
    <xf borderId="41" fillId="4" fontId="3" numFmtId="0" xfId="0" applyAlignment="1" applyBorder="1" applyFill="1" applyFont="1">
      <alignment shrinkToFit="0" vertical="center" wrapText="1"/>
    </xf>
    <xf borderId="32" fillId="6" fontId="5" numFmtId="164" xfId="0" applyAlignment="1" applyBorder="1" applyFill="1" applyFont="1" applyNumberFormat="1">
      <alignment shrinkToFit="0" vertical="center" wrapText="1"/>
    </xf>
    <xf borderId="44" fillId="8" fontId="5" numFmtId="0" xfId="0" applyBorder="1" applyFill="1" applyFont="1"/>
    <xf borderId="32" fillId="6" fontId="5" numFmtId="0" xfId="0" applyAlignment="1" applyBorder="1" applyFill="1" applyFont="1">
      <alignment shrinkToFit="0" vertical="center" wrapText="1"/>
    </xf>
    <xf borderId="32" fillId="13" fontId="5" numFmtId="0" xfId="0" applyAlignment="1" applyBorder="1" applyFill="1" applyFont="1">
      <alignment shrinkToFit="0" vertical="center" wrapText="1"/>
    </xf>
    <xf borderId="48" fillId="0" fontId="3" numFmtId="0" xfId="0" applyAlignment="1" applyBorder="1" applyFont="1">
      <alignment shrinkToFit="0" vertical="center" wrapText="1"/>
    </xf>
    <xf borderId="49" fillId="0" fontId="2" numFmtId="0" xfId="0" applyBorder="1" applyFont="1"/>
    <xf borderId="50" fillId="0" fontId="2" numFmtId="0" xfId="0" applyBorder="1" applyFont="1"/>
    <xf borderId="51" fillId="0" fontId="5" numFmtId="0" xfId="0" applyAlignment="1" applyBorder="1" applyFont="1">
      <alignment shrinkToFit="0" vertical="center" wrapText="1"/>
    </xf>
    <xf borderId="36" fillId="6" fontId="5" numFmtId="0" xfId="0" applyAlignment="1" applyBorder="1" applyFill="1" applyFont="1">
      <alignment shrinkToFit="0" vertical="center" wrapText="1"/>
    </xf>
    <xf borderId="52" fillId="8" fontId="5" numFmtId="0" xfId="0" applyBorder="1" applyFill="1" applyFont="1"/>
    <xf borderId="44" fillId="0" fontId="5" numFmtId="0" xfId="0" applyBorder="1" applyFont="1"/>
    <xf borderId="53" fillId="0" fontId="5" numFmtId="0" xfId="0" applyBorder="1" applyFont="1"/>
    <xf borderId="48" fillId="4" fontId="3" numFmtId="0" xfId="0" applyAlignment="1" applyBorder="1" applyFill="1" applyFont="1">
      <alignment shrinkToFit="0" vertical="center" wrapText="1"/>
    </xf>
    <xf borderId="36" fillId="14" fontId="7" numFmtId="0" xfId="0" applyAlignment="1" applyBorder="1" applyFill="1" applyFont="1">
      <alignment shrinkToFit="0" vertical="center" wrapText="1"/>
    </xf>
    <xf borderId="32" fillId="14" fontId="7" numFmtId="0" xfId="0" applyAlignment="1" applyBorder="1" applyFill="1" applyFont="1">
      <alignment shrinkToFit="0" vertical="center" wrapText="1"/>
    </xf>
    <xf borderId="0" fillId="0" fontId="8" numFmtId="0" xfId="0" applyAlignment="1" applyFont="1">
      <alignment horizontal="center"/>
    </xf>
    <xf borderId="32" fillId="14" fontId="7" numFmtId="164" xfId="0" applyAlignment="1" applyBorder="1" applyFill="1" applyFont="1" applyNumberFormat="1">
      <alignment shrinkToFit="0" vertical="center" wrapText="1"/>
    </xf>
    <xf borderId="54" fillId="15" fontId="9" numFmtId="0" xfId="0" applyAlignment="1" applyBorder="1" applyFill="1" applyFont="1">
      <alignment shrinkToFit="0" vertical="center" wrapText="1"/>
    </xf>
    <xf borderId="55" fillId="15" fontId="9" numFmtId="0" xfId="0" applyAlignment="1" applyBorder="1" applyFill="1" applyFont="1">
      <alignment shrinkToFit="0" vertical="center" wrapText="1"/>
    </xf>
    <xf borderId="56" fillId="15" fontId="9" numFmtId="0" xfId="0" applyAlignment="1" applyBorder="1" applyFill="1" applyFont="1">
      <alignment shrinkToFit="0" vertical="center" wrapText="1"/>
    </xf>
    <xf borderId="52" fillId="0" fontId="5" numFmtId="0" xfId="0" applyBorder="1" applyFont="1"/>
    <xf borderId="54" fillId="4" fontId="10" numFmtId="0" xfId="0" applyAlignment="1" applyBorder="1" applyFill="1" applyFont="1">
      <alignment shrinkToFit="0" vertical="center" wrapText="1"/>
    </xf>
    <xf borderId="55" fillId="4" fontId="10" numFmtId="0" xfId="0" applyAlignment="1" applyBorder="1" applyFill="1" applyFont="1">
      <alignment shrinkToFit="0" vertical="center" wrapText="1"/>
    </xf>
    <xf borderId="57" fillId="4" fontId="10" numFmtId="0" xfId="0" applyAlignment="1" applyBorder="1" applyFill="1" applyFont="1">
      <alignment shrinkToFit="0" vertical="center" wrapText="1"/>
    </xf>
    <xf borderId="58" fillId="15" fontId="9" numFmtId="0" xfId="0" applyAlignment="1" applyBorder="1" applyFill="1" applyFont="1">
      <alignment shrinkToFit="0" vertical="center" wrapText="1"/>
    </xf>
    <xf borderId="59" fillId="15" fontId="11" numFmtId="0" xfId="0" applyAlignment="1" applyBorder="1" applyFill="1" applyFont="1">
      <alignment shrinkToFit="0" vertical="center" wrapText="1"/>
    </xf>
    <xf borderId="60" fillId="15" fontId="9" numFmtId="0" xfId="0" applyAlignment="1" applyBorder="1" applyFill="1" applyFont="1">
      <alignment shrinkToFit="0" vertical="center" wrapText="1"/>
    </xf>
    <xf borderId="58" fillId="16" fontId="9" numFmtId="0" xfId="0" applyAlignment="1" applyBorder="1" applyFill="1" applyFont="1">
      <alignment shrinkToFit="0" vertical="center" wrapText="1"/>
    </xf>
    <xf borderId="59" fillId="16" fontId="9" numFmtId="0" xfId="0" applyAlignment="1" applyBorder="1" applyFill="1" applyFont="1">
      <alignment shrinkToFit="0" vertical="center" wrapText="1"/>
    </xf>
    <xf borderId="61" fillId="16" fontId="9" numFmtId="0" xfId="0" applyAlignment="1" applyBorder="1" applyFill="1" applyFont="1">
      <alignment shrinkToFit="0" vertical="center" wrapText="1"/>
    </xf>
    <xf borderId="59" fillId="15" fontId="9" numFmtId="0" xfId="0" applyAlignment="1" applyBorder="1" applyFill="1" applyFont="1">
      <alignment shrinkToFit="0" vertical="center" wrapText="1"/>
    </xf>
    <xf borderId="60" fillId="15" fontId="11" numFmtId="0" xfId="0" applyAlignment="1" applyBorder="1" applyFill="1" applyFont="1">
      <alignment shrinkToFit="0" vertical="center" wrapText="1"/>
    </xf>
    <xf borderId="58" fillId="17" fontId="10" numFmtId="0" xfId="0" applyAlignment="1" applyBorder="1" applyFill="1" applyFont="1">
      <alignment shrinkToFit="0" vertical="center" wrapText="1"/>
    </xf>
    <xf borderId="59" fillId="17" fontId="10" numFmtId="0" xfId="0" applyAlignment="1" applyBorder="1" applyFill="1" applyFont="1">
      <alignment shrinkToFit="0" vertical="center" wrapText="1"/>
    </xf>
    <xf borderId="61" fillId="17" fontId="12" numFmtId="0" xfId="0" applyAlignment="1" applyBorder="1" applyFill="1" applyFont="1">
      <alignment shrinkToFit="0" vertical="center" wrapText="1"/>
    </xf>
    <xf borderId="58" fillId="18" fontId="9" numFmtId="0" xfId="0" applyAlignment="1" applyBorder="1" applyFill="1" applyFont="1">
      <alignment shrinkToFit="0" vertical="center" wrapText="1"/>
    </xf>
    <xf borderId="59" fillId="18" fontId="9" numFmtId="0" xfId="0" applyAlignment="1" applyBorder="1" applyFill="1" applyFont="1">
      <alignment shrinkToFit="0" vertical="center" wrapText="1"/>
    </xf>
    <xf borderId="60" fillId="18" fontId="9" numFmtId="0" xfId="0" applyAlignment="1" applyBorder="1" applyFill="1" applyFont="1">
      <alignment shrinkToFit="0" vertical="center" wrapText="1"/>
    </xf>
    <xf borderId="58" fillId="4" fontId="10" numFmtId="0" xfId="0" applyAlignment="1" applyBorder="1" applyFill="1" applyFont="1">
      <alignment shrinkToFit="0" vertical="center" wrapText="1"/>
    </xf>
    <xf borderId="59" fillId="4" fontId="10" numFmtId="0" xfId="0" applyAlignment="1" applyBorder="1" applyFill="1" applyFont="1">
      <alignment shrinkToFit="0" vertical="center" wrapText="1"/>
    </xf>
    <xf borderId="61" fillId="4" fontId="10" numFmtId="0" xfId="0" applyAlignment="1" applyBorder="1" applyFill="1" applyFont="1">
      <alignment shrinkToFit="0" vertical="center" wrapText="1"/>
    </xf>
    <xf borderId="59" fillId="18" fontId="11" numFmtId="0" xfId="0" applyAlignment="1" applyBorder="1" applyFill="1" applyFont="1">
      <alignment shrinkToFit="0" vertical="center" wrapText="1"/>
    </xf>
    <xf borderId="62" fillId="19" fontId="9" numFmtId="0" xfId="0" applyAlignment="1" applyBorder="1" applyFill="1" applyFont="1">
      <alignment shrinkToFit="0" vertical="center" wrapText="1"/>
    </xf>
    <xf borderId="17" fillId="19" fontId="9" numFmtId="0" xfId="0" applyAlignment="1" applyBorder="1" applyFill="1" applyFont="1">
      <alignment shrinkToFit="0" vertical="center" wrapText="1"/>
    </xf>
    <xf borderId="63" fillId="19" fontId="9" numFmtId="0" xfId="0" applyAlignment="1" applyBorder="1" applyFill="1" applyFont="1">
      <alignment shrinkToFit="0" vertical="center" wrapText="1"/>
    </xf>
    <xf borderId="64" fillId="0" fontId="5" numFmtId="0" xfId="0" applyBorder="1" applyFont="1"/>
    <xf borderId="65" fillId="16" fontId="9" numFmtId="0" xfId="0" applyAlignment="1" applyBorder="1" applyFill="1" applyFont="1">
      <alignment shrinkToFit="0" vertical="center" wrapText="1"/>
    </xf>
    <xf borderId="55" fillId="16" fontId="9" numFmtId="0" xfId="0" applyAlignment="1" applyBorder="1" applyFill="1" applyFont="1">
      <alignment shrinkToFit="0" vertical="center" wrapText="1"/>
    </xf>
    <xf borderId="57" fillId="16" fontId="9" numFmtId="0" xfId="0" applyAlignment="1" applyBorder="1" applyFill="1" applyFont="1">
      <alignment shrinkToFit="0" vertical="center" wrapText="1"/>
    </xf>
    <xf borderId="0" fillId="0" fontId="13" numFmtId="3" xfId="0" applyFont="1" applyNumberFormat="1"/>
    <xf borderId="4" fillId="0" fontId="5" numFmtId="0" xfId="0" applyAlignment="1" applyBorder="1" applyFont="1">
      <alignment shrinkToFit="0" vertical="center" wrapText="1"/>
    </xf>
    <xf borderId="44" fillId="2" fontId="3" numFmtId="0" xfId="0" applyBorder="1" applyFill="1" applyFont="1"/>
    <xf borderId="44" fillId="3" fontId="3" numFmtId="0" xfId="0" applyBorder="1" applyFill="1" applyFont="1"/>
    <xf borderId="0" fillId="0" fontId="2" numFmtId="0" xfId="0" applyAlignment="1" applyFont="1">
      <alignment readingOrder="0"/>
    </xf>
    <xf borderId="4" fillId="4" fontId="3" numFmtId="0" xfId="0" applyAlignment="1" applyBorder="1" applyFill="1" applyFont="1">
      <alignment shrinkToFit="0" vertical="center" wrapText="1"/>
    </xf>
    <xf borderId="4" fillId="6" fontId="5" numFmtId="0" xfId="0" applyAlignment="1" applyBorder="1" applyFill="1" applyFont="1">
      <alignment shrinkToFit="0" vertical="center" wrapText="1"/>
    </xf>
  </cellXfs>
  <cellStyles count="1">
    <cellStyle xfId="0" name="Normal" builtinId="0"/>
  </cellStyles>
  <dxfs count="2">
    <dxf>
      <font/>
      <fill>
        <patternFill patternType="solid">
          <fgColor rgb="FFFCE4D6"/>
          <bgColor rgb="FFFCE4D6"/>
        </patternFill>
      </fill>
      <border/>
    </dxf>
    <dxf>
      <font/>
      <fill>
        <patternFill patternType="solid">
          <fgColor rgb="FFE2F0D9"/>
          <bgColor rgb="FFE2F0D9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cap="flat" cmpd="sng" w="9525" algn="ctr">
          <a:solidFill>
            <a:schemeClr val="phClr">
              <a:shade val="95000"/>
              <a:satMod val="105000"/>
            </a:schemeClr>
          </a:solidFill>
          <a:prstDash val="solid"/>
        </a:ln>
        <a:ln cap="flat" cmpd="sng" w="25400" algn="ctr">
          <a:solidFill>
            <a:schemeClr val="phClr"/>
          </a:solidFill>
          <a:prstDash val="solid"/>
        </a:ln>
        <a:ln cap="flat" cmpd="sng" w="38100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rotWithShape="0" dir="5400000" dist="20000">
              <a:srgbClr val="000000">
                <a:alpha val="38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dir="t" rig="threePt">
              <a:rot lat="0" lon="0" rev="1200000"/>
            </a:lightRig>
          </a:scene3d>
          <a:sp3d>
            <a:bevelT h="25400" w="635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b="180000" l="50000" r="50000" t="-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b="50000" l="50000" r="50000" t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0.0"/>
    <col customWidth="1" min="2" max="2" width="24.0"/>
    <col customWidth="1" min="3" max="8" width="18.0"/>
    <col customWidth="1" min="9" max="11" width="8.71"/>
  </cols>
  <sheetData>
    <row r="1" ht="25.5" customHeight="1">
      <c r="A1" s="1" t="s">
        <v>0</v>
      </c>
      <c r="B1" s="2"/>
      <c r="C1" s="2"/>
      <c r="D1" s="2"/>
      <c r="E1" s="2"/>
      <c r="F1" s="2"/>
      <c r="G1" s="2"/>
      <c r="H1" s="3"/>
    </row>
    <row r="3">
      <c r="A3" s="4" t="s">
        <v>1</v>
      </c>
      <c r="B3" s="2"/>
      <c r="C3" s="2"/>
      <c r="D3" s="2"/>
      <c r="E3" s="2"/>
      <c r="F3" s="2"/>
      <c r="G3" s="2"/>
      <c r="H3" s="3"/>
    </row>
    <row r="4">
      <c r="A4" s="5" t="s">
        <v>2</v>
      </c>
      <c r="B4" s="6" t="s">
        <v>3</v>
      </c>
      <c r="C4" s="2"/>
      <c r="D4" s="2"/>
      <c r="E4" s="2"/>
      <c r="F4" s="2"/>
      <c r="G4" s="2"/>
      <c r="H4" s="3"/>
    </row>
    <row r="5">
      <c r="A5" s="5" t="s">
        <v>4</v>
      </c>
      <c r="B5" s="6" t="s">
        <v>5</v>
      </c>
      <c r="C5" s="2"/>
      <c r="D5" s="2"/>
      <c r="E5" s="2"/>
      <c r="F5" s="2"/>
      <c r="G5" s="2"/>
      <c r="H5" s="3"/>
    </row>
    <row r="6">
      <c r="A6" s="5" t="s">
        <v>6</v>
      </c>
      <c r="B6" s="6" t="s">
        <v>7</v>
      </c>
      <c r="C6" s="2"/>
      <c r="D6" s="2"/>
      <c r="E6" s="2"/>
      <c r="F6" s="2"/>
      <c r="G6" s="2"/>
      <c r="H6" s="3"/>
    </row>
    <row r="7">
      <c r="A7" s="5" t="s">
        <v>8</v>
      </c>
      <c r="B7" s="6" t="s">
        <v>9</v>
      </c>
      <c r="C7" s="2"/>
      <c r="D7" s="2"/>
      <c r="E7" s="2"/>
      <c r="F7" s="2"/>
      <c r="G7" s="2"/>
      <c r="H7" s="3"/>
    </row>
    <row r="8">
      <c r="A8" s="5" t="s">
        <v>10</v>
      </c>
      <c r="B8" s="6" t="s">
        <v>11</v>
      </c>
      <c r="C8" s="2"/>
      <c r="D8" s="2"/>
      <c r="E8" s="2"/>
      <c r="F8" s="2"/>
      <c r="G8" s="2"/>
      <c r="H8" s="3"/>
    </row>
    <row r="9">
      <c r="A9" s="5" t="s">
        <v>12</v>
      </c>
      <c r="B9" s="6" t="s">
        <v>13</v>
      </c>
      <c r="C9" s="2"/>
      <c r="D9" s="2"/>
      <c r="E9" s="2"/>
      <c r="F9" s="2"/>
      <c r="G9" s="2"/>
      <c r="H9" s="3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8">
    <mergeCell ref="A1:H1"/>
    <mergeCell ref="B5:H5"/>
    <mergeCell ref="B8:H8"/>
    <mergeCell ref="A3:H3"/>
    <mergeCell ref="B9:H9"/>
    <mergeCell ref="B4:H4"/>
    <mergeCell ref="B6:H6"/>
    <mergeCell ref="B7:H7"/>
  </mergeCells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40.0"/>
    <col customWidth="1" min="2" max="3" width="18.0"/>
    <col customWidth="1" min="4" max="8" width="15.0"/>
    <col customWidth="1" min="9" max="11" width="8.71"/>
  </cols>
  <sheetData>
    <row r="1" ht="25.5" customHeight="1">
      <c r="A1" s="7" t="s">
        <v>14</v>
      </c>
      <c r="B1" s="8"/>
      <c r="C1" s="8"/>
      <c r="D1" s="8"/>
      <c r="E1" s="8"/>
      <c r="F1" s="8"/>
      <c r="G1" s="8"/>
      <c r="H1" s="9"/>
      <c r="I1" s="10"/>
      <c r="J1" s="10"/>
      <c r="K1" s="10"/>
    </row>
    <row r="2">
      <c r="A2" s="10"/>
      <c r="B2" s="10"/>
      <c r="C2" s="10"/>
      <c r="D2" s="10"/>
      <c r="E2" s="10"/>
      <c r="F2" s="10"/>
      <c r="G2" s="10"/>
      <c r="H2" s="10"/>
      <c r="I2" s="10"/>
      <c r="J2" s="10"/>
      <c r="K2" s="10"/>
    </row>
    <row r="3">
      <c r="A3" s="11" t="s">
        <v>15</v>
      </c>
      <c r="B3" s="8"/>
      <c r="C3" s="8"/>
      <c r="D3" s="8"/>
      <c r="E3" s="8"/>
      <c r="F3" s="8"/>
      <c r="G3" s="8"/>
      <c r="H3" s="9"/>
      <c r="I3" s="10"/>
      <c r="J3" s="10"/>
      <c r="K3" s="10"/>
    </row>
    <row r="4">
      <c r="A4" s="12" t="s">
        <v>16</v>
      </c>
      <c r="B4" s="13">
        <v>1.6E7</v>
      </c>
      <c r="C4" s="14" t="s">
        <v>17</v>
      </c>
      <c r="D4" s="10"/>
      <c r="E4" s="10"/>
      <c r="F4" s="10"/>
      <c r="G4" s="10"/>
      <c r="H4" s="10"/>
      <c r="I4" s="10"/>
      <c r="J4" s="10"/>
      <c r="K4" s="10"/>
    </row>
    <row r="5">
      <c r="A5" s="12" t="s">
        <v>18</v>
      </c>
      <c r="B5" s="15">
        <v>0.0</v>
      </c>
      <c r="C5" s="14" t="s">
        <v>17</v>
      </c>
      <c r="D5" s="10"/>
      <c r="E5" s="10"/>
      <c r="F5" s="10"/>
      <c r="G5" s="10"/>
      <c r="H5" s="10"/>
      <c r="I5" s="10"/>
      <c r="J5" s="10"/>
      <c r="K5" s="10"/>
    </row>
    <row r="6">
      <c r="A6" s="12" t="s">
        <v>19</v>
      </c>
      <c r="B6" s="16">
        <v>3.0</v>
      </c>
      <c r="C6" s="14" t="s">
        <v>20</v>
      </c>
      <c r="D6" s="10"/>
      <c r="E6" s="10"/>
      <c r="F6" s="10"/>
      <c r="G6" s="10"/>
      <c r="H6" s="10"/>
      <c r="I6" s="10"/>
      <c r="J6" s="10"/>
      <c r="K6" s="10"/>
    </row>
    <row r="7">
      <c r="A7" s="17" t="s">
        <v>21</v>
      </c>
      <c r="B7" s="18">
        <v>5000.0</v>
      </c>
      <c r="C7" s="19" t="s">
        <v>22</v>
      </c>
      <c r="D7" s="10"/>
      <c r="E7" s="10"/>
      <c r="F7" s="10"/>
      <c r="G7" s="10"/>
      <c r="H7" s="10"/>
      <c r="I7" s="10"/>
      <c r="J7" s="10"/>
      <c r="K7" s="10"/>
    </row>
    <row r="8">
      <c r="A8" s="20" t="s">
        <v>23</v>
      </c>
      <c r="B8" s="21">
        <v>1200000.0</v>
      </c>
      <c r="C8" s="22" t="s">
        <v>17</v>
      </c>
      <c r="D8" s="10"/>
      <c r="E8" s="10"/>
      <c r="F8" s="10"/>
      <c r="G8" s="10"/>
      <c r="H8" s="10"/>
      <c r="I8" s="10"/>
      <c r="J8" s="10"/>
      <c r="K8" s="10"/>
    </row>
    <row r="9">
      <c r="A9" s="12" t="s">
        <v>24</v>
      </c>
      <c r="B9" s="15">
        <v>0.0</v>
      </c>
      <c r="C9" s="14" t="s">
        <v>17</v>
      </c>
      <c r="D9" s="10"/>
      <c r="E9" s="10"/>
      <c r="F9" s="10"/>
      <c r="G9" s="10"/>
      <c r="H9" s="10"/>
      <c r="I9" s="10"/>
      <c r="J9" s="10"/>
      <c r="K9" s="10"/>
    </row>
    <row r="10">
      <c r="A10" s="12" t="s">
        <v>25</v>
      </c>
      <c r="B10" s="15">
        <v>3.0</v>
      </c>
      <c r="C10" s="14" t="s">
        <v>20</v>
      </c>
      <c r="D10" s="10"/>
      <c r="E10" s="10"/>
      <c r="F10" s="10"/>
      <c r="G10" s="10"/>
      <c r="H10" s="10"/>
      <c r="I10" s="10"/>
      <c r="J10" s="10"/>
      <c r="K10" s="10"/>
    </row>
    <row r="11">
      <c r="A11" s="17" t="s">
        <v>26</v>
      </c>
      <c r="B11" s="23">
        <v>5000.0</v>
      </c>
      <c r="C11" s="19" t="s">
        <v>22</v>
      </c>
      <c r="D11" s="10"/>
      <c r="E11" s="10"/>
      <c r="F11" s="10"/>
      <c r="G11" s="10"/>
      <c r="H11" s="10"/>
      <c r="I11" s="10"/>
      <c r="J11" s="10"/>
      <c r="K11" s="10"/>
    </row>
    <row r="12">
      <c r="A12" s="20" t="s">
        <v>27</v>
      </c>
      <c r="B12" s="24">
        <v>600000.0</v>
      </c>
      <c r="C12" s="22" t="s">
        <v>17</v>
      </c>
      <c r="D12" s="10"/>
      <c r="E12" s="10"/>
      <c r="F12" s="10"/>
      <c r="G12" s="10"/>
      <c r="H12" s="10"/>
      <c r="I12" s="10"/>
      <c r="J12" s="10"/>
      <c r="K12" s="10"/>
    </row>
    <row r="13">
      <c r="A13" s="12" t="s">
        <v>28</v>
      </c>
      <c r="B13" s="16">
        <v>0.0</v>
      </c>
      <c r="C13" s="14" t="s">
        <v>17</v>
      </c>
      <c r="D13" s="10"/>
      <c r="E13" s="10"/>
      <c r="F13" s="10"/>
      <c r="G13" s="10"/>
      <c r="H13" s="10"/>
      <c r="I13" s="10"/>
      <c r="J13" s="10"/>
      <c r="K13" s="10"/>
    </row>
    <row r="14">
      <c r="A14" s="12" t="s">
        <v>29</v>
      </c>
      <c r="B14" s="21">
        <v>3.0</v>
      </c>
      <c r="C14" s="14" t="s">
        <v>20</v>
      </c>
      <c r="D14" s="10"/>
      <c r="E14" s="10"/>
      <c r="F14" s="10"/>
      <c r="G14" s="10"/>
      <c r="H14" s="10"/>
      <c r="I14" s="10"/>
      <c r="J14" s="10"/>
      <c r="K14" s="10"/>
    </row>
    <row r="15">
      <c r="A15" s="17" t="s">
        <v>30</v>
      </c>
      <c r="B15" s="23">
        <v>5000.0</v>
      </c>
      <c r="C15" s="19" t="s">
        <v>22</v>
      </c>
      <c r="D15" s="10"/>
      <c r="E15" s="10"/>
      <c r="F15" s="10"/>
      <c r="G15" s="10"/>
      <c r="H15" s="10"/>
      <c r="I15" s="10"/>
      <c r="J15" s="10"/>
      <c r="K15" s="10"/>
    </row>
    <row r="16">
      <c r="A16" s="10"/>
      <c r="B16" s="10"/>
      <c r="C16" s="10"/>
      <c r="D16" s="10"/>
      <c r="E16" s="10"/>
      <c r="F16" s="10"/>
      <c r="G16" s="10"/>
      <c r="H16" s="10"/>
      <c r="I16" s="10"/>
      <c r="J16" s="10"/>
      <c r="K16" s="10"/>
    </row>
    <row r="17">
      <c r="A17" s="10"/>
      <c r="B17" s="10"/>
      <c r="C17" s="10"/>
      <c r="D17" s="10"/>
      <c r="E17" s="10"/>
      <c r="F17" s="10"/>
      <c r="G17" s="10"/>
      <c r="H17" s="10"/>
      <c r="I17" s="10"/>
      <c r="J17" s="10"/>
      <c r="K17" s="10"/>
    </row>
    <row r="18">
      <c r="A18" s="11" t="s">
        <v>31</v>
      </c>
      <c r="B18" s="8"/>
      <c r="C18" s="8"/>
      <c r="D18" s="8"/>
      <c r="E18" s="8"/>
      <c r="F18" s="8"/>
      <c r="G18" s="8"/>
      <c r="H18" s="9"/>
      <c r="I18" s="10"/>
      <c r="J18" s="10"/>
      <c r="K18" s="10"/>
    </row>
    <row r="19">
      <c r="A19" s="25" t="s">
        <v>32</v>
      </c>
      <c r="B19" s="26">
        <v>70.0</v>
      </c>
      <c r="C19" s="27" t="s">
        <v>33</v>
      </c>
      <c r="D19" s="10"/>
      <c r="E19" s="10"/>
      <c r="F19" s="10"/>
      <c r="G19" s="10"/>
      <c r="H19" s="10"/>
      <c r="I19" s="10"/>
      <c r="J19" s="10"/>
      <c r="K19" s="10"/>
    </row>
    <row r="20">
      <c r="A20" s="28" t="s">
        <v>34</v>
      </c>
      <c r="B20" s="29">
        <v>60.0</v>
      </c>
      <c r="C20" s="30" t="s">
        <v>33</v>
      </c>
      <c r="D20" s="10"/>
      <c r="E20" s="10"/>
      <c r="F20" s="10"/>
      <c r="G20" s="10"/>
      <c r="H20" s="10"/>
      <c r="I20" s="10"/>
      <c r="J20" s="10"/>
      <c r="K20" s="10"/>
    </row>
    <row r="21" ht="15.75" customHeight="1">
      <c r="A21" s="28" t="s">
        <v>35</v>
      </c>
      <c r="B21" s="29">
        <v>60.0</v>
      </c>
      <c r="C21" s="30" t="s">
        <v>33</v>
      </c>
      <c r="D21" s="10"/>
      <c r="E21" s="10"/>
      <c r="F21" s="10"/>
      <c r="G21" s="10"/>
      <c r="H21" s="10"/>
      <c r="I21" s="10"/>
      <c r="J21" s="10"/>
      <c r="K21" s="10"/>
    </row>
    <row r="22" ht="15.75" customHeight="1">
      <c r="A22" s="28" t="s">
        <v>36</v>
      </c>
      <c r="B22" s="31">
        <v>4.0</v>
      </c>
      <c r="C22" s="30" t="s">
        <v>37</v>
      </c>
      <c r="D22" s="10"/>
      <c r="E22" s="10"/>
      <c r="F22" s="10"/>
      <c r="G22" s="10"/>
      <c r="H22" s="10"/>
      <c r="I22" s="10"/>
      <c r="J22" s="10"/>
      <c r="K22" s="10"/>
    </row>
    <row r="23" ht="15.75" customHeight="1">
      <c r="A23" s="28" t="s">
        <v>38</v>
      </c>
      <c r="B23" s="31">
        <v>6.0</v>
      </c>
      <c r="C23" s="30" t="s">
        <v>39</v>
      </c>
      <c r="D23" s="10"/>
      <c r="E23" s="10"/>
      <c r="F23" s="10"/>
      <c r="G23" s="10"/>
      <c r="H23" s="10"/>
      <c r="I23" s="10"/>
      <c r="J23" s="10"/>
      <c r="K23" s="10"/>
    </row>
    <row r="24" ht="15.75" customHeight="1">
      <c r="A24" s="28" t="s">
        <v>40</v>
      </c>
      <c r="B24" s="31">
        <v>200.0</v>
      </c>
      <c r="C24" s="30" t="s">
        <v>41</v>
      </c>
      <c r="D24" s="10"/>
      <c r="E24" s="10"/>
      <c r="F24" s="10"/>
      <c r="G24" s="10"/>
      <c r="H24" s="10"/>
      <c r="I24" s="10"/>
      <c r="J24" s="10"/>
      <c r="K24" s="10"/>
    </row>
    <row r="25" ht="15.75" customHeight="1">
      <c r="A25" s="28" t="s">
        <v>42</v>
      </c>
      <c r="B25" s="31">
        <v>150.0</v>
      </c>
      <c r="C25" s="30" t="s">
        <v>41</v>
      </c>
      <c r="D25" s="10"/>
      <c r="E25" s="10"/>
      <c r="F25" s="10"/>
      <c r="G25" s="10"/>
      <c r="H25" s="10"/>
      <c r="I25" s="10"/>
      <c r="J25" s="10"/>
      <c r="K25" s="10"/>
    </row>
    <row r="26" ht="15.75" customHeight="1">
      <c r="A26" s="28" t="s">
        <v>43</v>
      </c>
      <c r="B26" s="31">
        <v>100.0</v>
      </c>
      <c r="C26" s="30" t="s">
        <v>41</v>
      </c>
      <c r="D26" s="10"/>
      <c r="E26" s="10"/>
      <c r="F26" s="10"/>
      <c r="G26" s="10"/>
      <c r="H26" s="10"/>
      <c r="I26" s="10"/>
      <c r="J26" s="10"/>
      <c r="K26" s="10"/>
    </row>
    <row r="27" ht="15.75" customHeight="1">
      <c r="A27" s="32" t="s">
        <v>44</v>
      </c>
      <c r="B27" s="33">
        <v>85.0</v>
      </c>
      <c r="C27" s="34" t="s">
        <v>45</v>
      </c>
      <c r="D27" s="10"/>
      <c r="E27" s="10"/>
      <c r="F27" s="10"/>
      <c r="G27" s="10"/>
      <c r="H27" s="10"/>
      <c r="I27" s="10"/>
      <c r="J27" s="10"/>
      <c r="K27" s="10"/>
    </row>
    <row r="28" ht="15.75" customHeight="1">
      <c r="A28" s="10"/>
      <c r="B28" s="10"/>
      <c r="C28" s="10"/>
      <c r="D28" s="10"/>
      <c r="E28" s="10"/>
      <c r="F28" s="10"/>
      <c r="G28" s="10"/>
      <c r="H28" s="10"/>
      <c r="I28" s="10"/>
      <c r="J28" s="10"/>
      <c r="K28" s="10"/>
    </row>
    <row r="29" ht="15.75" customHeight="1">
      <c r="A29" s="11" t="s">
        <v>46</v>
      </c>
      <c r="B29" s="8"/>
      <c r="C29" s="8"/>
      <c r="D29" s="8"/>
      <c r="E29" s="8"/>
      <c r="F29" s="8"/>
      <c r="G29" s="8"/>
      <c r="H29" s="9"/>
      <c r="I29" s="10"/>
      <c r="J29" s="10"/>
      <c r="K29" s="10"/>
    </row>
    <row r="30" ht="15.75" customHeight="1">
      <c r="A30" s="35" t="s">
        <v>47</v>
      </c>
      <c r="B30" s="36" t="str">
        <f>IFERROR((B4-B5)/(B6*B7),0)</f>
        <v>1066.666667</v>
      </c>
      <c r="C30" s="10"/>
      <c r="D30" s="10"/>
      <c r="E30" s="10"/>
      <c r="F30" s="10"/>
      <c r="G30" s="10"/>
      <c r="H30" s="10"/>
      <c r="I30" s="10"/>
      <c r="J30" s="10"/>
      <c r="K30" s="10"/>
    </row>
    <row r="31" ht="15.75" customHeight="1">
      <c r="A31" s="12" t="s">
        <v>48</v>
      </c>
      <c r="B31" s="37" t="str">
        <f>IFERROR((B8-B9)/(B10*B11),0)</f>
        <v>80</v>
      </c>
      <c r="C31" s="10"/>
      <c r="D31" s="10"/>
      <c r="E31" s="10"/>
      <c r="F31" s="10"/>
      <c r="G31" s="10"/>
      <c r="H31" s="10"/>
      <c r="I31" s="10"/>
      <c r="J31" s="10"/>
      <c r="K31" s="10"/>
    </row>
    <row r="32" ht="15.75" customHeight="1">
      <c r="A32" s="12" t="s">
        <v>49</v>
      </c>
      <c r="B32" s="37" t="str">
        <f>IFERROR((B12-B13)/(B14*B15),0)</f>
        <v>40</v>
      </c>
      <c r="C32" s="10"/>
      <c r="D32" s="10"/>
      <c r="E32" s="10"/>
      <c r="F32" s="10"/>
      <c r="G32" s="10"/>
      <c r="H32" s="10"/>
      <c r="I32" s="10"/>
      <c r="J32" s="10"/>
      <c r="K32" s="10"/>
    </row>
    <row r="33" ht="15.75" customHeight="1">
      <c r="A33" s="12" t="s">
        <v>50</v>
      </c>
      <c r="B33" s="37" t="str">
        <f>SUM(B30:B32)</f>
        <v>1186.666667</v>
      </c>
      <c r="C33" s="10"/>
      <c r="D33" s="10"/>
      <c r="E33" s="10"/>
      <c r="F33" s="10"/>
      <c r="G33" s="10"/>
      <c r="H33" s="10"/>
      <c r="I33" s="10"/>
      <c r="J33" s="10"/>
      <c r="K33" s="10"/>
    </row>
    <row r="34" ht="15.75" customHeight="1">
      <c r="A34" s="12" t="s">
        <v>51</v>
      </c>
      <c r="B34" s="37" t="str">
        <f>(B19+B20+B21)*B22</f>
        <v>760</v>
      </c>
      <c r="C34" s="10"/>
      <c r="D34" s="10"/>
      <c r="E34" s="10"/>
      <c r="F34" s="10"/>
      <c r="G34" s="10"/>
      <c r="H34" s="10"/>
      <c r="I34" s="10"/>
      <c r="J34" s="10"/>
      <c r="K34" s="10"/>
    </row>
    <row r="35" ht="15.75" customHeight="1">
      <c r="A35" s="12" t="s">
        <v>52</v>
      </c>
      <c r="B35" s="37" t="str">
        <f>B23*B24</f>
        <v>1200</v>
      </c>
      <c r="C35" s="10"/>
      <c r="D35" s="10"/>
      <c r="E35" s="10"/>
      <c r="F35" s="10"/>
      <c r="G35" s="10"/>
      <c r="H35" s="10"/>
      <c r="I35" s="10"/>
      <c r="J35" s="10"/>
      <c r="K35" s="10"/>
    </row>
    <row r="36" ht="15.75" customHeight="1">
      <c r="A36" s="12" t="s">
        <v>53</v>
      </c>
      <c r="B36" s="37" t="str">
        <f t="shared" ref="B36:B37" si="1">B25</f>
        <v>150</v>
      </c>
      <c r="C36" s="10"/>
      <c r="D36" s="10"/>
      <c r="E36" s="10"/>
      <c r="F36" s="10"/>
      <c r="G36" s="10"/>
      <c r="H36" s="10"/>
      <c r="I36" s="10"/>
      <c r="J36" s="10"/>
      <c r="K36" s="10"/>
    </row>
    <row r="37" ht="15.75" customHeight="1">
      <c r="A37" s="12" t="s">
        <v>43</v>
      </c>
      <c r="B37" s="37" t="str">
        <f t="shared" si="1"/>
        <v>100</v>
      </c>
      <c r="C37" s="10"/>
      <c r="D37" s="10"/>
      <c r="E37" s="10"/>
      <c r="F37" s="10"/>
      <c r="G37" s="10"/>
      <c r="H37" s="10"/>
      <c r="I37" s="10"/>
      <c r="J37" s="10"/>
      <c r="K37" s="10"/>
    </row>
    <row r="38" ht="15.75" customHeight="1">
      <c r="A38" s="12" t="s">
        <v>54</v>
      </c>
      <c r="B38" s="37" t="str">
        <f>SUM(B33:B37)</f>
        <v>3396.666667</v>
      </c>
      <c r="C38" s="10"/>
      <c r="D38" s="10"/>
      <c r="E38" s="10"/>
      <c r="F38" s="10"/>
      <c r="G38" s="10"/>
      <c r="H38" s="10"/>
      <c r="I38" s="10"/>
      <c r="J38" s="10"/>
      <c r="K38" s="10"/>
    </row>
    <row r="39" ht="15.75" customHeight="1">
      <c r="A39" s="17" t="s">
        <v>55</v>
      </c>
      <c r="B39" s="38" t="str">
        <f>IFERROR(B38/(B27/100),0)</f>
        <v>3996.078431</v>
      </c>
      <c r="C39" s="10"/>
      <c r="D39" s="10"/>
      <c r="E39" s="10"/>
      <c r="F39" s="10"/>
      <c r="G39" s="10"/>
      <c r="H39" s="10"/>
      <c r="I39" s="10"/>
      <c r="J39" s="10"/>
      <c r="K39" s="10"/>
    </row>
    <row r="40" ht="15.75" customHeight="1">
      <c r="A40" s="10"/>
      <c r="B40" s="10"/>
      <c r="C40" s="10"/>
      <c r="D40" s="10"/>
      <c r="E40" s="10"/>
      <c r="F40" s="10"/>
      <c r="G40" s="10"/>
      <c r="H40" s="10"/>
      <c r="I40" s="10"/>
      <c r="J40" s="10"/>
      <c r="K40" s="10"/>
    </row>
    <row r="41" ht="15.75" customHeight="1">
      <c r="A41" s="10"/>
      <c r="B41" s="10"/>
      <c r="C41" s="10"/>
      <c r="D41" s="10"/>
      <c r="E41" s="10"/>
      <c r="F41" s="10"/>
      <c r="G41" s="10"/>
      <c r="H41" s="10"/>
      <c r="I41" s="10"/>
      <c r="J41" s="10"/>
      <c r="K41" s="10"/>
    </row>
    <row r="42" ht="15.75" customHeight="1">
      <c r="A42" s="10"/>
      <c r="B42" s="10"/>
      <c r="C42" s="10"/>
      <c r="D42" s="10"/>
      <c r="E42" s="10"/>
      <c r="F42" s="10"/>
      <c r="G42" s="10"/>
      <c r="H42" s="10"/>
      <c r="I42" s="10"/>
      <c r="J42" s="10"/>
      <c r="K42" s="10"/>
    </row>
    <row r="43" ht="15.75" customHeight="1">
      <c r="A43" s="10"/>
      <c r="B43" s="10"/>
      <c r="C43" s="10"/>
      <c r="D43" s="10"/>
      <c r="E43" s="10"/>
      <c r="F43" s="10"/>
      <c r="G43" s="10"/>
      <c r="H43" s="10"/>
      <c r="I43" s="10"/>
      <c r="J43" s="10"/>
      <c r="K43" s="10"/>
    </row>
    <row r="44" ht="15.75" customHeight="1">
      <c r="A44" s="10"/>
      <c r="B44" s="10"/>
      <c r="C44" s="10"/>
      <c r="D44" s="10"/>
      <c r="E44" s="10"/>
      <c r="F44" s="10"/>
      <c r="G44" s="10"/>
      <c r="H44" s="10"/>
      <c r="I44" s="10"/>
      <c r="J44" s="10"/>
      <c r="K44" s="10"/>
    </row>
    <row r="45" ht="15.75" customHeight="1">
      <c r="A45" s="10"/>
      <c r="B45" s="10"/>
      <c r="C45" s="10"/>
      <c r="D45" s="10"/>
      <c r="E45" s="10"/>
      <c r="F45" s="10"/>
      <c r="G45" s="10"/>
      <c r="H45" s="10"/>
      <c r="I45" s="10"/>
      <c r="J45" s="10"/>
      <c r="K45" s="10"/>
    </row>
    <row r="46" ht="15.75" customHeight="1">
      <c r="A46" s="10"/>
      <c r="B46" s="10"/>
      <c r="C46" s="10"/>
      <c r="D46" s="10"/>
      <c r="E46" s="10"/>
      <c r="F46" s="10"/>
      <c r="G46" s="10"/>
      <c r="H46" s="10"/>
      <c r="I46" s="10"/>
      <c r="J46" s="10"/>
      <c r="K46" s="10"/>
    </row>
    <row r="47" ht="15.75" customHeight="1">
      <c r="A47" s="10"/>
      <c r="B47" s="10"/>
      <c r="C47" s="10"/>
      <c r="D47" s="10"/>
      <c r="E47" s="10"/>
      <c r="F47" s="10"/>
      <c r="G47" s="10"/>
      <c r="H47" s="10"/>
      <c r="I47" s="10"/>
      <c r="J47" s="10"/>
      <c r="K47" s="10"/>
    </row>
    <row r="48" ht="15.75" customHeight="1">
      <c r="A48" s="10"/>
      <c r="B48" s="10"/>
      <c r="C48" s="10"/>
      <c r="D48" s="10"/>
      <c r="E48" s="10"/>
      <c r="F48" s="10"/>
      <c r="G48" s="10"/>
      <c r="H48" s="10"/>
      <c r="I48" s="10"/>
      <c r="J48" s="10"/>
      <c r="K48" s="10"/>
    </row>
    <row r="49" ht="15.75" customHeight="1">
      <c r="A49" s="10"/>
      <c r="B49" s="10"/>
      <c r="C49" s="10"/>
      <c r="D49" s="10"/>
      <c r="E49" s="10"/>
      <c r="F49" s="10"/>
      <c r="G49" s="10"/>
      <c r="H49" s="10"/>
      <c r="I49" s="10"/>
      <c r="J49" s="10"/>
      <c r="K49" s="10"/>
    </row>
    <row r="50" ht="15.75" customHeight="1">
      <c r="A50" s="10"/>
      <c r="B50" s="10"/>
      <c r="C50" s="10"/>
      <c r="D50" s="10"/>
      <c r="E50" s="10"/>
      <c r="F50" s="10"/>
      <c r="G50" s="10"/>
      <c r="H50" s="10"/>
      <c r="I50" s="10"/>
      <c r="J50" s="10"/>
      <c r="K50" s="10"/>
    </row>
    <row r="51" ht="15.75" customHeight="1">
      <c r="A51" s="10"/>
      <c r="B51" s="10"/>
      <c r="C51" s="10"/>
      <c r="D51" s="10"/>
      <c r="E51" s="10"/>
      <c r="F51" s="10"/>
      <c r="G51" s="10"/>
      <c r="H51" s="10"/>
      <c r="I51" s="10"/>
      <c r="J51" s="10"/>
      <c r="K51" s="10"/>
    </row>
    <row r="52" ht="15.75" customHeight="1">
      <c r="A52" s="10"/>
      <c r="B52" s="10"/>
      <c r="C52" s="10"/>
      <c r="D52" s="10"/>
      <c r="E52" s="10"/>
      <c r="F52" s="10"/>
      <c r="G52" s="10"/>
      <c r="H52" s="10"/>
      <c r="I52" s="10"/>
      <c r="J52" s="10"/>
      <c r="K52" s="10"/>
    </row>
    <row r="53" ht="15.75" customHeight="1">
      <c r="A53" s="10"/>
      <c r="B53" s="10"/>
      <c r="C53" s="10"/>
      <c r="D53" s="10"/>
      <c r="E53" s="10"/>
      <c r="F53" s="10"/>
      <c r="G53" s="10"/>
      <c r="H53" s="10"/>
      <c r="I53" s="10"/>
      <c r="J53" s="10"/>
      <c r="K53" s="10"/>
    </row>
    <row r="54" ht="15.75" customHeight="1">
      <c r="A54" s="10"/>
      <c r="B54" s="10"/>
      <c r="C54" s="10"/>
      <c r="D54" s="10"/>
      <c r="E54" s="10"/>
      <c r="F54" s="10"/>
      <c r="G54" s="10"/>
      <c r="H54" s="10"/>
      <c r="I54" s="10"/>
      <c r="J54" s="10"/>
      <c r="K54" s="10"/>
    </row>
    <row r="55" ht="15.75" customHeight="1">
      <c r="A55" s="10"/>
      <c r="B55" s="10"/>
      <c r="C55" s="10"/>
      <c r="D55" s="10"/>
      <c r="E55" s="10"/>
      <c r="F55" s="10"/>
      <c r="G55" s="10"/>
      <c r="H55" s="10"/>
      <c r="I55" s="10"/>
      <c r="J55" s="10"/>
      <c r="K55" s="10"/>
    </row>
    <row r="56" ht="15.75" customHeight="1">
      <c r="A56" s="10"/>
      <c r="B56" s="10"/>
      <c r="C56" s="10"/>
      <c r="D56" s="10"/>
      <c r="E56" s="10"/>
      <c r="F56" s="10"/>
      <c r="G56" s="10"/>
      <c r="H56" s="10"/>
      <c r="I56" s="10"/>
      <c r="J56" s="10"/>
      <c r="K56" s="10"/>
    </row>
    <row r="57" ht="15.75" customHeight="1">
      <c r="A57" s="10"/>
      <c r="B57" s="10"/>
      <c r="C57" s="10"/>
      <c r="D57" s="10"/>
      <c r="E57" s="10"/>
      <c r="F57" s="10"/>
      <c r="G57" s="10"/>
      <c r="H57" s="10"/>
      <c r="I57" s="10"/>
      <c r="J57" s="10"/>
      <c r="K57" s="10"/>
    </row>
    <row r="58" ht="15.75" customHeight="1">
      <c r="A58" s="10"/>
      <c r="B58" s="10"/>
      <c r="C58" s="10"/>
      <c r="D58" s="10"/>
      <c r="E58" s="10"/>
      <c r="F58" s="10"/>
      <c r="G58" s="10"/>
      <c r="H58" s="10"/>
      <c r="I58" s="10"/>
      <c r="J58" s="10"/>
      <c r="K58" s="10"/>
    </row>
    <row r="59" ht="15.75" customHeight="1">
      <c r="A59" s="10"/>
      <c r="B59" s="10"/>
      <c r="C59" s="10"/>
      <c r="D59" s="10"/>
      <c r="E59" s="10"/>
      <c r="F59" s="10"/>
      <c r="G59" s="10"/>
      <c r="H59" s="10"/>
      <c r="I59" s="10"/>
      <c r="J59" s="10"/>
      <c r="K59" s="10"/>
    </row>
    <row r="60" ht="15.75" customHeight="1">
      <c r="A60" s="10"/>
      <c r="B60" s="10"/>
      <c r="C60" s="10"/>
      <c r="D60" s="10"/>
      <c r="E60" s="10"/>
      <c r="F60" s="10"/>
      <c r="G60" s="10"/>
      <c r="H60" s="10"/>
      <c r="I60" s="10"/>
      <c r="J60" s="10"/>
      <c r="K60" s="10"/>
    </row>
    <row r="61" ht="15.75" customHeight="1">
      <c r="A61" s="10"/>
      <c r="B61" s="10"/>
      <c r="C61" s="10"/>
      <c r="D61" s="10"/>
      <c r="E61" s="10"/>
      <c r="F61" s="10"/>
      <c r="G61" s="10"/>
      <c r="H61" s="10"/>
      <c r="I61" s="10"/>
      <c r="J61" s="10"/>
      <c r="K61" s="10"/>
    </row>
    <row r="62" ht="15.75" customHeight="1">
      <c r="A62" s="10"/>
      <c r="B62" s="10"/>
      <c r="C62" s="10"/>
      <c r="D62" s="10"/>
      <c r="E62" s="10"/>
      <c r="F62" s="10"/>
      <c r="G62" s="10"/>
      <c r="H62" s="10"/>
      <c r="I62" s="10"/>
      <c r="J62" s="10"/>
      <c r="K62" s="10"/>
    </row>
    <row r="63" ht="15.75" customHeight="1">
      <c r="A63" s="10"/>
      <c r="B63" s="10"/>
      <c r="C63" s="10"/>
      <c r="D63" s="10"/>
      <c r="E63" s="10"/>
      <c r="F63" s="10"/>
      <c r="G63" s="10"/>
      <c r="H63" s="10"/>
      <c r="I63" s="10"/>
      <c r="J63" s="10"/>
      <c r="K63" s="10"/>
    </row>
    <row r="64" ht="15.75" customHeight="1">
      <c r="A64" s="10"/>
      <c r="B64" s="10"/>
      <c r="C64" s="10"/>
      <c r="D64" s="10"/>
      <c r="E64" s="10"/>
      <c r="F64" s="10"/>
      <c r="G64" s="10"/>
      <c r="H64" s="10"/>
      <c r="I64" s="10"/>
      <c r="J64" s="10"/>
      <c r="K64" s="10"/>
    </row>
    <row r="65" ht="15.75" customHeight="1">
      <c r="A65" s="10"/>
      <c r="B65" s="10"/>
      <c r="C65" s="10"/>
      <c r="D65" s="10"/>
      <c r="E65" s="10"/>
      <c r="F65" s="10"/>
      <c r="G65" s="10"/>
      <c r="H65" s="10"/>
      <c r="I65" s="10"/>
      <c r="J65" s="10"/>
      <c r="K65" s="10"/>
    </row>
    <row r="66" ht="15.75" customHeight="1">
      <c r="A66" s="10"/>
      <c r="B66" s="10"/>
      <c r="C66" s="10"/>
      <c r="D66" s="10"/>
      <c r="E66" s="10"/>
      <c r="F66" s="10"/>
      <c r="G66" s="10"/>
      <c r="H66" s="10"/>
      <c r="I66" s="10"/>
      <c r="J66" s="10"/>
      <c r="K66" s="10"/>
    </row>
    <row r="67" ht="15.75" customHeight="1">
      <c r="A67" s="10"/>
      <c r="B67" s="10"/>
      <c r="C67" s="10"/>
      <c r="D67" s="10"/>
      <c r="E67" s="10"/>
      <c r="F67" s="10"/>
      <c r="G67" s="10"/>
      <c r="H67" s="10"/>
      <c r="I67" s="10"/>
      <c r="J67" s="10"/>
      <c r="K67" s="10"/>
    </row>
    <row r="68" ht="15.75" customHeight="1">
      <c r="A68" s="10"/>
      <c r="B68" s="10"/>
      <c r="C68" s="10"/>
      <c r="D68" s="10"/>
      <c r="E68" s="10"/>
      <c r="F68" s="10"/>
      <c r="G68" s="10"/>
      <c r="H68" s="10"/>
      <c r="I68" s="10"/>
      <c r="J68" s="10"/>
      <c r="K68" s="10"/>
    </row>
    <row r="69" ht="15.75" customHeight="1">
      <c r="A69" s="10"/>
      <c r="B69" s="10"/>
      <c r="C69" s="10"/>
      <c r="D69" s="10"/>
      <c r="E69" s="10"/>
      <c r="F69" s="10"/>
      <c r="G69" s="10"/>
      <c r="H69" s="10"/>
      <c r="I69" s="10"/>
      <c r="J69" s="10"/>
      <c r="K69" s="10"/>
    </row>
    <row r="70" ht="15.75" customHeight="1">
      <c r="A70" s="10"/>
      <c r="B70" s="10"/>
      <c r="C70" s="10"/>
      <c r="D70" s="10"/>
      <c r="E70" s="10"/>
      <c r="F70" s="10"/>
      <c r="G70" s="10"/>
      <c r="H70" s="10"/>
      <c r="I70" s="10"/>
      <c r="J70" s="10"/>
      <c r="K70" s="10"/>
    </row>
    <row r="71" ht="15.75" customHeight="1">
      <c r="A71" s="10"/>
      <c r="B71" s="10"/>
      <c r="C71" s="10"/>
      <c r="D71" s="10"/>
      <c r="E71" s="10"/>
      <c r="F71" s="10"/>
      <c r="G71" s="10"/>
      <c r="H71" s="10"/>
      <c r="I71" s="10"/>
      <c r="J71" s="10"/>
      <c r="K71" s="10"/>
    </row>
    <row r="72" ht="15.75" customHeight="1">
      <c r="A72" s="10"/>
      <c r="B72" s="10"/>
      <c r="C72" s="10"/>
      <c r="D72" s="10"/>
      <c r="E72" s="10"/>
      <c r="F72" s="10"/>
      <c r="G72" s="10"/>
      <c r="H72" s="10"/>
      <c r="I72" s="10"/>
      <c r="J72" s="10"/>
      <c r="K72" s="10"/>
    </row>
    <row r="73" ht="15.75" customHeight="1">
      <c r="A73" s="10"/>
      <c r="B73" s="10"/>
      <c r="C73" s="10"/>
      <c r="D73" s="10"/>
      <c r="E73" s="10"/>
      <c r="F73" s="10"/>
      <c r="G73" s="10"/>
      <c r="H73" s="10"/>
      <c r="I73" s="10"/>
      <c r="J73" s="10"/>
      <c r="K73" s="10"/>
    </row>
    <row r="74" ht="15.75" customHeight="1">
      <c r="A74" s="10"/>
      <c r="B74" s="10"/>
      <c r="C74" s="10"/>
      <c r="D74" s="10"/>
      <c r="E74" s="10"/>
      <c r="F74" s="10"/>
      <c r="G74" s="10"/>
      <c r="H74" s="10"/>
      <c r="I74" s="10"/>
      <c r="J74" s="10"/>
      <c r="K74" s="10"/>
    </row>
    <row r="75" ht="15.75" customHeight="1">
      <c r="A75" s="10"/>
      <c r="B75" s="10"/>
      <c r="C75" s="10"/>
      <c r="D75" s="10"/>
      <c r="E75" s="10"/>
      <c r="F75" s="10"/>
      <c r="G75" s="10"/>
      <c r="H75" s="10"/>
      <c r="I75" s="10"/>
      <c r="J75" s="10"/>
      <c r="K75" s="10"/>
    </row>
    <row r="76" ht="15.75" customHeight="1">
      <c r="A76" s="10"/>
      <c r="B76" s="10"/>
      <c r="C76" s="10"/>
      <c r="D76" s="10"/>
      <c r="E76" s="10"/>
      <c r="F76" s="10"/>
      <c r="G76" s="10"/>
      <c r="H76" s="10"/>
      <c r="I76" s="10"/>
      <c r="J76" s="10"/>
      <c r="K76" s="10"/>
    </row>
    <row r="77" ht="15.75" customHeight="1">
      <c r="A77" s="10"/>
      <c r="B77" s="10"/>
      <c r="C77" s="10"/>
      <c r="D77" s="10"/>
      <c r="E77" s="10"/>
      <c r="F77" s="10"/>
      <c r="G77" s="10"/>
      <c r="H77" s="10"/>
      <c r="I77" s="10"/>
      <c r="J77" s="10"/>
      <c r="K77" s="10"/>
    </row>
    <row r="78" ht="15.75" customHeight="1">
      <c r="A78" s="10"/>
      <c r="B78" s="10"/>
      <c r="C78" s="10"/>
      <c r="D78" s="10"/>
      <c r="E78" s="10"/>
      <c r="F78" s="10"/>
      <c r="G78" s="10"/>
      <c r="H78" s="10"/>
      <c r="I78" s="10"/>
      <c r="J78" s="10"/>
      <c r="K78" s="10"/>
    </row>
    <row r="79" ht="15.75" customHeight="1">
      <c r="A79" s="10"/>
      <c r="B79" s="10"/>
      <c r="C79" s="10"/>
      <c r="D79" s="10"/>
      <c r="E79" s="10"/>
      <c r="F79" s="10"/>
      <c r="G79" s="10"/>
      <c r="H79" s="10"/>
      <c r="I79" s="10"/>
      <c r="J79" s="10"/>
      <c r="K79" s="10"/>
    </row>
    <row r="80" ht="15.75" customHeight="1">
      <c r="A80" s="10"/>
      <c r="B80" s="10"/>
      <c r="C80" s="10"/>
      <c r="D80" s="10"/>
      <c r="E80" s="10"/>
      <c r="F80" s="10"/>
      <c r="G80" s="10"/>
      <c r="H80" s="10"/>
      <c r="I80" s="10"/>
      <c r="J80" s="10"/>
      <c r="K80" s="10"/>
    </row>
    <row r="81" ht="15.75" customHeight="1">
      <c r="A81" s="10"/>
      <c r="B81" s="10"/>
      <c r="C81" s="10"/>
      <c r="D81" s="10"/>
      <c r="E81" s="10"/>
      <c r="F81" s="10"/>
      <c r="G81" s="10"/>
      <c r="H81" s="10"/>
      <c r="I81" s="10"/>
      <c r="J81" s="10"/>
      <c r="K81" s="10"/>
    </row>
    <row r="82" ht="15.75" customHeight="1">
      <c r="A82" s="10"/>
      <c r="B82" s="10"/>
      <c r="C82" s="10"/>
      <c r="D82" s="10"/>
      <c r="E82" s="10"/>
      <c r="F82" s="10"/>
      <c r="G82" s="10"/>
      <c r="H82" s="10"/>
      <c r="I82" s="10"/>
      <c r="J82" s="10"/>
      <c r="K82" s="10"/>
    </row>
    <row r="83" ht="15.75" customHeight="1">
      <c r="A83" s="10"/>
      <c r="B83" s="10"/>
      <c r="C83" s="10"/>
      <c r="D83" s="10"/>
      <c r="E83" s="10"/>
      <c r="F83" s="10"/>
      <c r="G83" s="10"/>
      <c r="H83" s="10"/>
      <c r="I83" s="10"/>
      <c r="J83" s="10"/>
      <c r="K83" s="10"/>
    </row>
    <row r="84" ht="15.75" customHeight="1">
      <c r="A84" s="10"/>
      <c r="B84" s="10"/>
      <c r="C84" s="10"/>
      <c r="D84" s="10"/>
      <c r="E84" s="10"/>
      <c r="F84" s="10"/>
      <c r="G84" s="10"/>
      <c r="H84" s="10"/>
      <c r="I84" s="10"/>
      <c r="J84" s="10"/>
      <c r="K84" s="10"/>
    </row>
    <row r="85" ht="15.75" customHeight="1">
      <c r="A85" s="10"/>
      <c r="B85" s="10"/>
      <c r="C85" s="10"/>
      <c r="D85" s="10"/>
      <c r="E85" s="10"/>
      <c r="F85" s="10"/>
      <c r="G85" s="10"/>
      <c r="H85" s="10"/>
      <c r="I85" s="10"/>
      <c r="J85" s="10"/>
      <c r="K85" s="10"/>
    </row>
    <row r="86" ht="15.75" customHeight="1">
      <c r="A86" s="10"/>
      <c r="B86" s="10"/>
      <c r="C86" s="10"/>
      <c r="D86" s="10"/>
      <c r="E86" s="10"/>
      <c r="F86" s="10"/>
      <c r="G86" s="10"/>
      <c r="H86" s="10"/>
      <c r="I86" s="10"/>
      <c r="J86" s="10"/>
      <c r="K86" s="10"/>
    </row>
    <row r="87" ht="15.75" customHeight="1">
      <c r="A87" s="10"/>
      <c r="B87" s="10"/>
      <c r="C87" s="10"/>
      <c r="D87" s="10"/>
      <c r="E87" s="10"/>
      <c r="F87" s="10"/>
      <c r="G87" s="10"/>
      <c r="H87" s="10"/>
      <c r="I87" s="10"/>
      <c r="J87" s="10"/>
      <c r="K87" s="10"/>
    </row>
    <row r="88" ht="15.75" customHeight="1">
      <c r="A88" s="10"/>
      <c r="B88" s="10"/>
      <c r="C88" s="10"/>
      <c r="D88" s="10"/>
      <c r="E88" s="10"/>
      <c r="F88" s="10"/>
      <c r="G88" s="10"/>
      <c r="H88" s="10"/>
      <c r="I88" s="10"/>
      <c r="J88" s="10"/>
      <c r="K88" s="10"/>
    </row>
    <row r="89" ht="15.75" customHeight="1">
      <c r="A89" s="10"/>
      <c r="B89" s="10"/>
      <c r="C89" s="10"/>
      <c r="D89" s="10"/>
      <c r="E89" s="10"/>
      <c r="F89" s="10"/>
      <c r="G89" s="10"/>
      <c r="H89" s="10"/>
      <c r="I89" s="10"/>
      <c r="J89" s="10"/>
      <c r="K89" s="10"/>
    </row>
    <row r="90" ht="15.75" customHeight="1">
      <c r="A90" s="10"/>
      <c r="B90" s="10"/>
      <c r="C90" s="10"/>
      <c r="D90" s="10"/>
      <c r="E90" s="10"/>
      <c r="F90" s="10"/>
      <c r="G90" s="10"/>
      <c r="H90" s="10"/>
      <c r="I90" s="10"/>
      <c r="J90" s="10"/>
      <c r="K90" s="10"/>
    </row>
    <row r="91" ht="15.75" customHeight="1">
      <c r="A91" s="10"/>
      <c r="B91" s="10"/>
      <c r="C91" s="10"/>
      <c r="D91" s="10"/>
      <c r="E91" s="10"/>
      <c r="F91" s="10"/>
      <c r="G91" s="10"/>
      <c r="H91" s="10"/>
      <c r="I91" s="10"/>
      <c r="J91" s="10"/>
      <c r="K91" s="10"/>
    </row>
    <row r="92" ht="15.75" customHeight="1">
      <c r="A92" s="10"/>
      <c r="B92" s="10"/>
      <c r="C92" s="10"/>
      <c r="D92" s="10"/>
      <c r="E92" s="10"/>
      <c r="F92" s="10"/>
      <c r="G92" s="10"/>
      <c r="H92" s="10"/>
      <c r="I92" s="10"/>
      <c r="J92" s="10"/>
      <c r="K92" s="10"/>
    </row>
    <row r="93" ht="15.75" customHeight="1">
      <c r="A93" s="10"/>
      <c r="B93" s="10"/>
      <c r="C93" s="10"/>
      <c r="D93" s="10"/>
      <c r="E93" s="10"/>
      <c r="F93" s="10"/>
      <c r="G93" s="10"/>
      <c r="H93" s="10"/>
      <c r="I93" s="10"/>
      <c r="J93" s="10"/>
      <c r="K93" s="10"/>
    </row>
    <row r="94" ht="15.75" customHeight="1">
      <c r="A94" s="10"/>
      <c r="B94" s="10"/>
      <c r="C94" s="10"/>
      <c r="D94" s="10"/>
      <c r="E94" s="10"/>
      <c r="F94" s="10"/>
      <c r="G94" s="10"/>
      <c r="H94" s="10"/>
      <c r="I94" s="10"/>
      <c r="J94" s="10"/>
      <c r="K94" s="10"/>
    </row>
    <row r="95" ht="15.75" customHeight="1">
      <c r="A95" s="10"/>
      <c r="B95" s="10"/>
      <c r="C95" s="10"/>
      <c r="D95" s="10"/>
      <c r="E95" s="10"/>
      <c r="F95" s="10"/>
      <c r="G95" s="10"/>
      <c r="H95" s="10"/>
      <c r="I95" s="10"/>
      <c r="J95" s="10"/>
      <c r="K95" s="10"/>
    </row>
    <row r="96" ht="15.75" customHeight="1">
      <c r="A96" s="10"/>
      <c r="B96" s="10"/>
      <c r="C96" s="10"/>
      <c r="D96" s="10"/>
      <c r="E96" s="10"/>
      <c r="F96" s="10"/>
      <c r="G96" s="10"/>
      <c r="H96" s="10"/>
      <c r="I96" s="10"/>
      <c r="J96" s="10"/>
      <c r="K96" s="10"/>
    </row>
    <row r="97" ht="15.75" customHeight="1">
      <c r="A97" s="10"/>
      <c r="B97" s="10"/>
      <c r="C97" s="10"/>
      <c r="D97" s="10"/>
      <c r="E97" s="10"/>
      <c r="F97" s="10"/>
      <c r="G97" s="10"/>
      <c r="H97" s="10"/>
      <c r="I97" s="10"/>
      <c r="J97" s="10"/>
      <c r="K97" s="10"/>
    </row>
    <row r="98" ht="15.75" customHeight="1">
      <c r="A98" s="10"/>
      <c r="B98" s="10"/>
      <c r="C98" s="10"/>
      <c r="D98" s="10"/>
      <c r="E98" s="10"/>
      <c r="F98" s="10"/>
      <c r="G98" s="10"/>
      <c r="H98" s="10"/>
      <c r="I98" s="10"/>
      <c r="J98" s="10"/>
      <c r="K98" s="10"/>
    </row>
    <row r="99" ht="15.75" customHeight="1">
      <c r="A99" s="10"/>
      <c r="B99" s="10"/>
      <c r="C99" s="10"/>
      <c r="D99" s="10"/>
      <c r="E99" s="10"/>
      <c r="F99" s="10"/>
      <c r="G99" s="10"/>
      <c r="H99" s="10"/>
      <c r="I99" s="10"/>
      <c r="J99" s="10"/>
      <c r="K99" s="10"/>
    </row>
    <row r="100" ht="15.75" customHeight="1">
      <c r="A100" s="10"/>
      <c r="B100" s="10"/>
      <c r="C100" s="10"/>
      <c r="D100" s="10"/>
      <c r="E100" s="10"/>
      <c r="F100" s="10"/>
      <c r="G100" s="10"/>
      <c r="H100" s="10"/>
      <c r="I100" s="10"/>
      <c r="J100" s="10"/>
      <c r="K100" s="10"/>
    </row>
  </sheetData>
  <mergeCells count="4">
    <mergeCell ref="A18:H18"/>
    <mergeCell ref="A3:H3"/>
    <mergeCell ref="A29:H29"/>
    <mergeCell ref="A1:H1"/>
  </mergeCells>
  <printOptions/>
  <pageMargins bottom="1.0" footer="0.0" header="0.0" left="0.75" right="0.75" top="1.0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28.0"/>
    <col customWidth="1" min="2" max="2" width="18.0"/>
    <col customWidth="1" min="3" max="8" width="16.0"/>
    <col customWidth="1" min="9" max="11" width="8.71"/>
  </cols>
  <sheetData>
    <row r="1" ht="25.5" customHeight="1">
      <c r="A1" s="7" t="s">
        <v>56</v>
      </c>
      <c r="B1" s="8"/>
      <c r="C1" s="8"/>
      <c r="D1" s="8"/>
      <c r="E1" s="8"/>
      <c r="F1" s="8"/>
      <c r="G1" s="8"/>
      <c r="H1" s="9"/>
      <c r="I1" s="10"/>
      <c r="J1" s="10"/>
      <c r="K1" s="10"/>
    </row>
    <row r="2">
      <c r="A2" s="10"/>
      <c r="B2" s="10"/>
      <c r="C2" s="10"/>
      <c r="D2" s="10"/>
      <c r="E2" s="10"/>
      <c r="F2" s="10"/>
      <c r="G2" s="10"/>
      <c r="H2" s="10"/>
      <c r="I2" s="10"/>
      <c r="J2" s="10"/>
      <c r="K2" s="10"/>
    </row>
    <row r="3">
      <c r="A3" s="11" t="s">
        <v>57</v>
      </c>
      <c r="B3" s="8"/>
      <c r="C3" s="8"/>
      <c r="D3" s="8"/>
      <c r="E3" s="8"/>
      <c r="F3" s="8"/>
      <c r="G3" s="8"/>
      <c r="H3" s="9"/>
      <c r="I3" s="10"/>
      <c r="J3" s="10"/>
      <c r="K3" s="10"/>
    </row>
    <row r="4">
      <c r="A4" s="39" t="s">
        <v>58</v>
      </c>
      <c r="B4" s="40" t="s">
        <v>59</v>
      </c>
      <c r="C4" s="41"/>
      <c r="D4" s="10"/>
      <c r="E4" s="10"/>
      <c r="F4" s="10"/>
      <c r="G4" s="10"/>
      <c r="H4" s="10"/>
      <c r="I4" s="10"/>
      <c r="J4" s="10"/>
      <c r="K4" s="10"/>
    </row>
    <row r="5">
      <c r="A5" s="39" t="s">
        <v>60</v>
      </c>
      <c r="B5" s="42"/>
      <c r="C5" s="43"/>
      <c r="D5" s="10"/>
      <c r="E5" s="10"/>
      <c r="F5" s="10"/>
      <c r="G5" s="10"/>
      <c r="H5" s="10"/>
      <c r="I5" s="10"/>
      <c r="J5" s="10"/>
      <c r="K5" s="10"/>
    </row>
    <row r="6">
      <c r="A6" s="44" t="s">
        <v>61</v>
      </c>
      <c r="B6" s="45">
        <v>300000.0</v>
      </c>
      <c r="C6" s="44" t="s">
        <v>62</v>
      </c>
      <c r="D6" s="10"/>
      <c r="E6" s="10"/>
      <c r="F6" s="10"/>
      <c r="G6" s="10"/>
      <c r="H6" s="10"/>
      <c r="I6" s="10"/>
      <c r="J6" s="10"/>
      <c r="K6" s="10"/>
    </row>
    <row r="7">
      <c r="A7" s="44" t="s">
        <v>63</v>
      </c>
      <c r="B7" s="45">
        <v>2000.0</v>
      </c>
      <c r="C7" s="44" t="s">
        <v>62</v>
      </c>
      <c r="D7" s="10"/>
      <c r="E7" s="10"/>
      <c r="F7" s="10"/>
      <c r="G7" s="10"/>
      <c r="H7" s="10"/>
      <c r="I7" s="10"/>
      <c r="J7" s="10"/>
      <c r="K7" s="10"/>
    </row>
    <row r="8">
      <c r="A8" s="44" t="s">
        <v>64</v>
      </c>
      <c r="B8" s="45">
        <v>2000.0</v>
      </c>
      <c r="C8" s="44" t="s">
        <v>65</v>
      </c>
      <c r="D8" s="10"/>
      <c r="E8" s="10"/>
      <c r="F8" s="10"/>
      <c r="G8" s="10"/>
      <c r="H8" s="10"/>
      <c r="I8" s="10"/>
      <c r="J8" s="10"/>
      <c r="K8" s="10"/>
    </row>
    <row r="9">
      <c r="A9" s="44" t="s">
        <v>66</v>
      </c>
      <c r="B9" s="46">
        <v>58.0</v>
      </c>
      <c r="C9" s="44" t="s">
        <v>67</v>
      </c>
      <c r="D9" s="10"/>
      <c r="E9" s="10"/>
      <c r="F9" s="10"/>
      <c r="G9" s="10"/>
      <c r="H9" s="10"/>
      <c r="I9" s="10"/>
      <c r="J9" s="10"/>
      <c r="K9" s="10"/>
    </row>
    <row r="10">
      <c r="A10" s="44" t="s">
        <v>68</v>
      </c>
      <c r="B10" s="47">
        <v>90.0</v>
      </c>
      <c r="C10" s="44" t="s">
        <v>67</v>
      </c>
      <c r="D10" s="10"/>
      <c r="E10" s="10"/>
      <c r="F10" s="10"/>
      <c r="G10" s="10"/>
      <c r="H10" s="10"/>
      <c r="I10" s="10"/>
      <c r="J10" s="10"/>
      <c r="K10" s="10"/>
    </row>
    <row r="11">
      <c r="A11" s="44" t="s">
        <v>69</v>
      </c>
      <c r="B11" s="46">
        <v>3.0</v>
      </c>
      <c r="C11" s="44" t="s">
        <v>67</v>
      </c>
      <c r="D11" s="10"/>
      <c r="E11" s="10"/>
      <c r="F11" s="10"/>
      <c r="G11" s="10"/>
      <c r="H11" s="10"/>
      <c r="I11" s="10"/>
      <c r="J11" s="10"/>
      <c r="K11" s="10"/>
    </row>
    <row r="12">
      <c r="A12" s="44" t="s">
        <v>70</v>
      </c>
      <c r="B12" s="48" t="str">
        <f>+CYLINDER_SELECTOR!B24</f>
        <v>2.86875</v>
      </c>
      <c r="C12" s="44" t="s">
        <v>67</v>
      </c>
      <c r="D12" s="10"/>
      <c r="E12" s="10"/>
      <c r="F12" s="10"/>
      <c r="G12" s="10"/>
      <c r="H12" s="10"/>
      <c r="I12" s="10"/>
      <c r="J12" s="10"/>
      <c r="K12" s="10"/>
    </row>
    <row r="13">
      <c r="A13" s="44" t="s">
        <v>71</v>
      </c>
      <c r="B13" s="48">
        <v>2.5</v>
      </c>
      <c r="C13" s="44" t="s">
        <v>67</v>
      </c>
      <c r="D13" s="10"/>
      <c r="E13" s="10"/>
      <c r="F13" s="10"/>
      <c r="G13" s="10"/>
      <c r="H13" s="10"/>
      <c r="I13" s="10"/>
      <c r="J13" s="10"/>
      <c r="K13" s="10"/>
    </row>
    <row r="14">
      <c r="A14" s="44" t="s">
        <v>72</v>
      </c>
      <c r="B14" s="48">
        <v>70.0</v>
      </c>
      <c r="C14" s="44" t="s">
        <v>73</v>
      </c>
      <c r="D14" s="10"/>
      <c r="E14" s="10"/>
      <c r="F14" s="10"/>
      <c r="G14" s="10"/>
      <c r="H14" s="10"/>
      <c r="I14" s="10"/>
      <c r="J14" s="10"/>
      <c r="K14" s="10"/>
    </row>
    <row r="15">
      <c r="A15" s="44" t="s">
        <v>74</v>
      </c>
      <c r="B15" s="46">
        <v>7.0</v>
      </c>
      <c r="C15" s="44" t="s">
        <v>75</v>
      </c>
      <c r="D15" s="10"/>
      <c r="E15" s="10"/>
      <c r="F15" s="10"/>
      <c r="G15" s="10"/>
      <c r="H15" s="10"/>
      <c r="I15" s="10"/>
      <c r="J15" s="10"/>
      <c r="K15" s="10"/>
    </row>
    <row r="16">
      <c r="A16" s="49" t="s">
        <v>76</v>
      </c>
      <c r="B16" s="50" t="str">
        <f>CYLINDER_SELECTOR!B21</f>
        <v>117</v>
      </c>
      <c r="C16" s="49" t="str">
        <f>CYLINDER_SELECTOR!A4</f>
        <v>Cylinder Teeth</v>
      </c>
      <c r="D16" s="10"/>
      <c r="E16" s="10"/>
      <c r="F16" s="10"/>
      <c r="G16" s="10"/>
      <c r="H16" s="10"/>
      <c r="I16" s="10"/>
      <c r="J16" s="10"/>
      <c r="K16" s="10"/>
    </row>
    <row r="17">
      <c r="A17" s="49" t="s">
        <v>77</v>
      </c>
      <c r="B17" s="51" t="str">
        <f>B39</f>
        <v>5</v>
      </c>
      <c r="C17" s="49" t="s">
        <v>78</v>
      </c>
      <c r="D17" s="10"/>
      <c r="E17" s="10"/>
      <c r="F17" s="10"/>
      <c r="G17" s="10"/>
      <c r="H17" s="10"/>
      <c r="I17" s="10"/>
      <c r="J17" s="10"/>
      <c r="K17" s="10"/>
    </row>
    <row r="18">
      <c r="A18" s="49" t="s">
        <v>79</v>
      </c>
      <c r="B18" s="51" t="str">
        <f>CYLINDER_SELECTOR!B23</f>
        <v>4</v>
      </c>
      <c r="C18" s="49" t="s">
        <v>78</v>
      </c>
      <c r="D18" s="10"/>
      <c r="E18" s="10"/>
      <c r="F18" s="10"/>
      <c r="G18" s="10"/>
      <c r="H18" s="10"/>
      <c r="I18" s="10"/>
      <c r="J18" s="10"/>
      <c r="K18" s="10"/>
    </row>
    <row r="19">
      <c r="A19" s="49" t="s">
        <v>80</v>
      </c>
      <c r="B19" s="50" t="str">
        <f>B41</f>
        <v>325</v>
      </c>
      <c r="C19" s="49" t="s">
        <v>67</v>
      </c>
      <c r="D19" s="10"/>
      <c r="E19" s="10"/>
      <c r="F19" s="10"/>
      <c r="G19" s="10"/>
      <c r="H19" s="10"/>
      <c r="I19" s="10"/>
      <c r="J19" s="10"/>
      <c r="K19" s="10"/>
    </row>
    <row r="20">
      <c r="A20" s="49" t="s">
        <v>81</v>
      </c>
      <c r="B20" s="51" t="str">
        <f>CYLINDER_SELECTOR!B22</f>
        <v>371.475</v>
      </c>
      <c r="C20" s="49" t="s">
        <v>67</v>
      </c>
      <c r="D20" s="10"/>
      <c r="E20" s="10"/>
      <c r="F20" s="10"/>
      <c r="G20" s="10"/>
      <c r="H20" s="10"/>
      <c r="I20" s="10"/>
      <c r="J20" s="10"/>
      <c r="K20" s="10"/>
    </row>
    <row r="21" ht="15.75" customHeight="1">
      <c r="A21" s="49" t="s">
        <v>82</v>
      </c>
      <c r="B21" s="52">
        <v>10.0</v>
      </c>
      <c r="C21" s="49" t="s">
        <v>67</v>
      </c>
      <c r="D21" s="10"/>
      <c r="E21" s="10"/>
      <c r="F21" s="10"/>
      <c r="G21" s="10"/>
      <c r="H21" s="10"/>
      <c r="I21" s="10"/>
      <c r="J21" s="10"/>
      <c r="K21" s="10"/>
    </row>
    <row r="22" ht="15.75" customHeight="1">
      <c r="A22" s="49" t="s">
        <v>83</v>
      </c>
      <c r="B22" s="50">
        <v>350.0</v>
      </c>
      <c r="C22" s="49" t="s">
        <v>67</v>
      </c>
      <c r="D22" s="10"/>
      <c r="E22" s="10"/>
      <c r="F22" s="10"/>
      <c r="G22" s="10"/>
      <c r="H22" s="10"/>
      <c r="I22" s="10"/>
      <c r="J22" s="10"/>
      <c r="K22" s="10"/>
    </row>
    <row r="23" ht="15.75" customHeight="1">
      <c r="A23" s="49" t="s">
        <v>84</v>
      </c>
      <c r="B23" s="51">
        <v>70.0</v>
      </c>
      <c r="C23" s="49" t="s">
        <v>85</v>
      </c>
      <c r="D23" s="10"/>
      <c r="E23" s="10"/>
      <c r="F23" s="10"/>
      <c r="G23" s="10"/>
      <c r="H23" s="10"/>
      <c r="I23" s="10"/>
      <c r="J23" s="10"/>
      <c r="K23" s="10"/>
    </row>
    <row r="24" ht="15.75" customHeight="1">
      <c r="A24" s="49" t="s">
        <v>86</v>
      </c>
      <c r="B24" s="51">
        <v>2000.0</v>
      </c>
      <c r="C24" s="49" t="s">
        <v>87</v>
      </c>
      <c r="D24" s="10"/>
      <c r="E24" s="10"/>
      <c r="F24" s="10"/>
      <c r="G24" s="10"/>
      <c r="H24" s="10"/>
      <c r="I24" s="10"/>
      <c r="J24" s="10"/>
      <c r="K24" s="10"/>
    </row>
    <row r="25" ht="15.75" customHeight="1">
      <c r="A25" s="49" t="s">
        <v>88</v>
      </c>
      <c r="B25" s="51">
        <v>10.0</v>
      </c>
      <c r="C25" s="49" t="s">
        <v>45</v>
      </c>
      <c r="D25" s="10"/>
      <c r="E25" s="10"/>
      <c r="F25" s="10"/>
      <c r="G25" s="10"/>
      <c r="H25" s="10"/>
      <c r="I25" s="10"/>
      <c r="J25" s="10"/>
      <c r="K25" s="10"/>
    </row>
    <row r="26" ht="15.75" customHeight="1">
      <c r="A26" s="49" t="s">
        <v>89</v>
      </c>
      <c r="B26" s="50" t="str">
        <f>JOB_COSTING!B15</f>
        <v>4</v>
      </c>
      <c r="C26" s="49" t="s">
        <v>90</v>
      </c>
      <c r="D26" s="10"/>
      <c r="E26" s="10"/>
      <c r="F26" s="10"/>
      <c r="G26" s="10"/>
      <c r="H26" s="10"/>
      <c r="I26" s="10"/>
      <c r="J26" s="10"/>
      <c r="K26" s="10"/>
    </row>
    <row r="27" ht="15.75" customHeight="1">
      <c r="A27" s="53" t="s">
        <v>91</v>
      </c>
      <c r="B27" s="53" t="str">
        <f>C27/1200</f>
        <v>0.125</v>
      </c>
      <c r="C27" s="53">
        <v>150.0</v>
      </c>
      <c r="D27" s="54" t="s">
        <v>17</v>
      </c>
      <c r="E27" s="10"/>
      <c r="F27" s="10"/>
      <c r="G27" s="10"/>
      <c r="H27" s="10"/>
      <c r="I27" s="10"/>
      <c r="J27" s="10"/>
      <c r="K27" s="10"/>
    </row>
    <row r="28" ht="15.75" customHeight="1">
      <c r="A28" s="53" t="s">
        <v>92</v>
      </c>
      <c r="B28" s="53" t="str">
        <f>C28*(B6/B7/5)</f>
        <v>1050</v>
      </c>
      <c r="C28" s="53">
        <v>35.0</v>
      </c>
      <c r="D28" s="54" t="s">
        <v>17</v>
      </c>
      <c r="E28" s="10"/>
      <c r="F28" s="10"/>
      <c r="G28" s="10"/>
      <c r="H28" s="10"/>
      <c r="I28" s="10"/>
      <c r="J28" s="10"/>
      <c r="K28" s="10"/>
    </row>
    <row r="29" ht="15.75" customHeight="1">
      <c r="A29" s="53" t="s">
        <v>93</v>
      </c>
      <c r="B29" s="53" t="str">
        <f>(((B6/B7)/5)*30)+JOB_COSTING!B36</f>
        <v>3487.5</v>
      </c>
      <c r="C29" s="53"/>
      <c r="D29" s="54" t="s">
        <v>17</v>
      </c>
      <c r="E29" s="10"/>
      <c r="F29" s="10"/>
      <c r="G29" s="10"/>
      <c r="H29" s="10"/>
      <c r="I29" s="10"/>
      <c r="J29" s="10"/>
      <c r="K29" s="10"/>
    </row>
    <row r="30" ht="15.75" customHeight="1">
      <c r="A30" s="53" t="s">
        <v>94</v>
      </c>
      <c r="B30" s="55">
        <v>25.0</v>
      </c>
      <c r="C30" s="53"/>
      <c r="D30" s="54" t="s">
        <v>95</v>
      </c>
      <c r="E30" s="10"/>
      <c r="F30" s="10"/>
      <c r="G30" s="10"/>
      <c r="H30" s="10"/>
      <c r="I30" s="10"/>
      <c r="J30" s="10"/>
      <c r="K30" s="10"/>
    </row>
    <row r="31" ht="15.75" customHeight="1">
      <c r="A31" s="53" t="s">
        <v>96</v>
      </c>
      <c r="B31" s="54">
        <v>18.0</v>
      </c>
      <c r="C31" s="53" t="str">
        <f>B31*JOB_COSTING!B17</f>
        <v>38723.12438</v>
      </c>
      <c r="D31" s="56" t="s">
        <v>17</v>
      </c>
      <c r="E31" s="57">
        <v>18.0</v>
      </c>
      <c r="F31" s="10"/>
      <c r="G31" s="10"/>
      <c r="H31" s="10"/>
      <c r="I31" s="10"/>
      <c r="J31" s="10"/>
      <c r="K31" s="10"/>
    </row>
    <row r="32" ht="15.75" customHeight="1">
      <c r="A32" s="53" t="s">
        <v>97</v>
      </c>
      <c r="B32" s="54">
        <v>2.0</v>
      </c>
      <c r="C32" s="53" t="str">
        <f>B32*JOB_COSTING!B17</f>
        <v>4302.569375</v>
      </c>
      <c r="D32" s="56" t="s">
        <v>17</v>
      </c>
      <c r="E32" s="58">
        <v>2.0</v>
      </c>
      <c r="F32" s="10"/>
      <c r="G32" s="10"/>
      <c r="H32" s="10"/>
      <c r="I32" s="10"/>
      <c r="J32" s="10"/>
      <c r="K32" s="10"/>
    </row>
    <row r="33" ht="15.75" customHeight="1">
      <c r="A33" s="53" t="s">
        <v>98</v>
      </c>
      <c r="B33" s="53">
        <v>1.0</v>
      </c>
      <c r="C33" s="53" t="s">
        <v>99</v>
      </c>
      <c r="D33" s="10"/>
      <c r="E33" s="10"/>
      <c r="F33" s="10"/>
      <c r="G33" s="10"/>
      <c r="H33" s="10"/>
      <c r="I33" s="10"/>
      <c r="J33" s="10"/>
      <c r="K33" s="10"/>
    </row>
    <row r="34" ht="15.75" customHeight="1">
      <c r="A34" s="59" t="s">
        <v>100</v>
      </c>
      <c r="B34" s="60">
        <v>12000.0</v>
      </c>
      <c r="C34" s="59" t="s">
        <v>101</v>
      </c>
      <c r="D34" s="10"/>
      <c r="E34" s="10"/>
      <c r="F34" s="10"/>
      <c r="G34" s="10"/>
      <c r="H34" s="10"/>
      <c r="I34" s="10"/>
      <c r="J34" s="10"/>
      <c r="K34" s="10"/>
    </row>
    <row r="35" ht="15.75" customHeight="1">
      <c r="A35" s="53" t="s">
        <v>102</v>
      </c>
      <c r="B35" s="53">
        <v>50.0</v>
      </c>
      <c r="C35" s="53" t="s">
        <v>45</v>
      </c>
      <c r="D35" s="10"/>
      <c r="E35" s="10"/>
      <c r="F35" s="10"/>
      <c r="G35" s="10"/>
      <c r="H35" s="10"/>
      <c r="I35" s="10"/>
      <c r="J35" s="10"/>
      <c r="K35" s="10"/>
    </row>
    <row r="36" ht="15.75" customHeight="1">
      <c r="A36" s="10"/>
      <c r="B36" s="10"/>
      <c r="C36" s="10"/>
      <c r="D36" s="10"/>
      <c r="E36" s="10"/>
      <c r="F36" s="10"/>
      <c r="G36" s="10"/>
      <c r="H36" s="10"/>
      <c r="I36" s="10"/>
      <c r="J36" s="10"/>
      <c r="K36" s="10"/>
    </row>
    <row r="37" ht="15.75" customHeight="1">
      <c r="A37" s="10"/>
      <c r="B37" s="10"/>
      <c r="C37" s="10"/>
      <c r="D37" s="10"/>
      <c r="E37" s="10"/>
      <c r="F37" s="10"/>
      <c r="G37" s="10"/>
      <c r="H37" s="10"/>
      <c r="I37" s="10"/>
      <c r="J37" s="10"/>
      <c r="K37" s="10"/>
    </row>
    <row r="38" ht="15.75" customHeight="1">
      <c r="A38" s="11" t="s">
        <v>103</v>
      </c>
      <c r="B38" s="8"/>
      <c r="C38" s="8"/>
      <c r="D38" s="8"/>
      <c r="E38" s="8"/>
      <c r="F38" s="8"/>
      <c r="G38" s="8"/>
      <c r="H38" s="9"/>
      <c r="I38" s="10"/>
      <c r="J38" s="10"/>
      <c r="K38" s="10"/>
    </row>
    <row r="39" ht="15.75" customHeight="1">
      <c r="A39" s="61" t="s">
        <v>104</v>
      </c>
      <c r="B39" s="61" t="str">
        <f>INT((B22-(2*B21))/(B9+B11))</f>
        <v>5</v>
      </c>
      <c r="C39" s="61" t="s">
        <v>105</v>
      </c>
      <c r="D39" s="10"/>
      <c r="E39" s="10"/>
      <c r="F39" s="10"/>
      <c r="G39" s="10"/>
      <c r="H39" s="10"/>
      <c r="I39" s="10"/>
      <c r="J39" s="10"/>
      <c r="K39" s="10"/>
    </row>
    <row r="40" ht="15.75" customHeight="1">
      <c r="A40" s="61" t="s">
        <v>106</v>
      </c>
      <c r="B40" s="61" t="str">
        <f>B39*B9+(B39)*B11</f>
        <v>305</v>
      </c>
      <c r="C40" s="61" t="s">
        <v>67</v>
      </c>
      <c r="D40" s="10"/>
      <c r="E40" s="10"/>
      <c r="F40" s="10"/>
      <c r="G40" s="10"/>
      <c r="H40" s="10"/>
      <c r="I40" s="10"/>
      <c r="J40" s="10"/>
      <c r="K40" s="10"/>
    </row>
    <row r="41" ht="15.75" customHeight="1">
      <c r="A41" s="61" t="s">
        <v>107</v>
      </c>
      <c r="B41" s="61" t="str">
        <f>B40+2*B21</f>
        <v>325</v>
      </c>
      <c r="C41" s="61" t="s">
        <v>67</v>
      </c>
      <c r="D41" s="10"/>
      <c r="E41" s="10"/>
      <c r="F41" s="10"/>
      <c r="G41" s="10"/>
      <c r="H41" s="10"/>
      <c r="I41" s="10"/>
      <c r="J41" s="10"/>
      <c r="K41" s="10"/>
    </row>
    <row r="42" ht="15.75" customHeight="1">
      <c r="A42" s="61" t="s">
        <v>108</v>
      </c>
      <c r="B42" s="61" t="str">
        <f>IF(B41&lt;=B22,"FIT","CHECK WIDTH")</f>
        <v>FIT</v>
      </c>
      <c r="C42" s="61"/>
      <c r="D42" s="10"/>
      <c r="E42" s="10"/>
      <c r="F42" s="10"/>
      <c r="G42" s="10"/>
      <c r="H42" s="10"/>
      <c r="I42" s="10"/>
      <c r="J42" s="10"/>
      <c r="K42" s="10"/>
    </row>
    <row r="43" ht="15.75" customHeight="1">
      <c r="A43" s="10"/>
      <c r="B43" s="10"/>
      <c r="C43" s="10"/>
      <c r="D43" s="10"/>
      <c r="E43" s="10"/>
      <c r="F43" s="10"/>
      <c r="G43" s="10"/>
      <c r="H43" s="10"/>
      <c r="I43" s="10"/>
      <c r="J43" s="10"/>
      <c r="K43" s="10"/>
    </row>
    <row r="44" ht="15.75" customHeight="1">
      <c r="A44" s="10"/>
      <c r="B44" s="10"/>
      <c r="C44" s="10"/>
      <c r="D44" s="10"/>
      <c r="E44" s="10"/>
      <c r="F44" s="10"/>
      <c r="G44" s="10"/>
      <c r="H44" s="10"/>
      <c r="I44" s="10"/>
      <c r="J44" s="10"/>
      <c r="K44" s="10"/>
    </row>
    <row r="45" ht="15.75" customHeight="1">
      <c r="A45" s="10"/>
      <c r="B45" s="10"/>
      <c r="C45" s="10"/>
      <c r="D45" s="10"/>
      <c r="E45" s="10"/>
      <c r="F45" s="10"/>
      <c r="G45" s="10"/>
      <c r="H45" s="10"/>
      <c r="I45" s="10"/>
      <c r="J45" s="10"/>
      <c r="K45" s="10"/>
    </row>
    <row r="46" ht="15.75" customHeight="1">
      <c r="A46" s="10"/>
      <c r="B46" s="10"/>
      <c r="C46" s="10"/>
      <c r="D46" s="10"/>
      <c r="E46" s="10"/>
      <c r="F46" s="10"/>
      <c r="G46" s="10"/>
      <c r="H46" s="10"/>
      <c r="I46" s="10"/>
      <c r="J46" s="10"/>
      <c r="K46" s="10"/>
    </row>
    <row r="47" ht="15.75" customHeight="1">
      <c r="A47" s="10"/>
      <c r="B47" s="10"/>
      <c r="C47" s="10"/>
      <c r="D47" s="10"/>
      <c r="E47" s="10"/>
      <c r="F47" s="10"/>
      <c r="G47" s="10"/>
      <c r="H47" s="10"/>
      <c r="I47" s="10"/>
      <c r="J47" s="10"/>
      <c r="K47" s="10"/>
    </row>
    <row r="48" ht="15.75" customHeight="1">
      <c r="A48" s="10"/>
      <c r="B48" s="10"/>
      <c r="C48" s="10"/>
      <c r="D48" s="10"/>
      <c r="E48" s="10"/>
      <c r="F48" s="10"/>
      <c r="G48" s="10"/>
      <c r="H48" s="10"/>
      <c r="I48" s="10"/>
      <c r="J48" s="10"/>
      <c r="K48" s="10"/>
    </row>
    <row r="49" ht="15.75" customHeight="1">
      <c r="A49" s="10"/>
      <c r="B49" s="10"/>
      <c r="C49" s="10"/>
      <c r="D49" s="10"/>
      <c r="E49" s="10"/>
      <c r="F49" s="10"/>
      <c r="G49" s="10"/>
      <c r="H49" s="10"/>
      <c r="I49" s="10"/>
      <c r="J49" s="10"/>
      <c r="K49" s="10"/>
    </row>
    <row r="50" ht="15.75" customHeight="1">
      <c r="A50" s="10"/>
      <c r="B50" s="10"/>
      <c r="C50" s="10"/>
      <c r="D50" s="10"/>
      <c r="E50" s="10"/>
      <c r="F50" s="10"/>
      <c r="G50" s="10"/>
      <c r="H50" s="10"/>
      <c r="I50" s="10"/>
      <c r="J50" s="10"/>
      <c r="K50" s="10"/>
    </row>
    <row r="51" ht="15.75" customHeight="1">
      <c r="A51" s="10"/>
      <c r="B51" s="10"/>
      <c r="C51" s="10"/>
      <c r="D51" s="10"/>
      <c r="E51" s="10"/>
      <c r="F51" s="10"/>
      <c r="G51" s="10"/>
      <c r="H51" s="10"/>
      <c r="I51" s="10"/>
      <c r="J51" s="10"/>
      <c r="K51" s="10"/>
    </row>
    <row r="52" ht="15.75" customHeight="1">
      <c r="A52" s="10"/>
      <c r="B52" s="10"/>
      <c r="C52" s="10"/>
      <c r="D52" s="10"/>
      <c r="E52" s="10"/>
      <c r="F52" s="10"/>
      <c r="G52" s="10"/>
      <c r="H52" s="10"/>
      <c r="I52" s="10"/>
      <c r="J52" s="10"/>
      <c r="K52" s="10"/>
    </row>
    <row r="53" ht="15.75" customHeight="1">
      <c r="A53" s="10"/>
      <c r="B53" s="10"/>
      <c r="C53" s="10"/>
      <c r="D53" s="10"/>
      <c r="E53" s="10"/>
      <c r="F53" s="10"/>
      <c r="G53" s="10"/>
      <c r="H53" s="10"/>
      <c r="I53" s="10"/>
      <c r="J53" s="10"/>
      <c r="K53" s="10"/>
    </row>
    <row r="54" ht="15.75" customHeight="1">
      <c r="A54" s="10"/>
      <c r="B54" s="10"/>
      <c r="C54" s="10"/>
      <c r="D54" s="10"/>
      <c r="E54" s="10"/>
      <c r="F54" s="10"/>
      <c r="G54" s="10"/>
      <c r="H54" s="10"/>
      <c r="I54" s="10"/>
      <c r="J54" s="10"/>
      <c r="K54" s="10"/>
    </row>
    <row r="55" ht="15.75" customHeight="1">
      <c r="A55" s="10"/>
      <c r="B55" s="10"/>
      <c r="C55" s="10"/>
      <c r="D55" s="10"/>
      <c r="E55" s="10"/>
      <c r="F55" s="10"/>
      <c r="G55" s="10"/>
      <c r="H55" s="10"/>
      <c r="I55" s="10"/>
      <c r="J55" s="10"/>
      <c r="K55" s="10"/>
    </row>
    <row r="56" ht="15.75" customHeight="1">
      <c r="A56" s="10"/>
      <c r="B56" s="10"/>
      <c r="C56" s="10"/>
      <c r="D56" s="10"/>
      <c r="E56" s="10"/>
      <c r="F56" s="10"/>
      <c r="G56" s="10"/>
      <c r="H56" s="10"/>
      <c r="I56" s="10"/>
      <c r="J56" s="10"/>
      <c r="K56" s="10"/>
    </row>
    <row r="57" ht="15.75" customHeight="1">
      <c r="A57" s="10"/>
      <c r="B57" s="10"/>
      <c r="C57" s="10"/>
      <c r="D57" s="10"/>
      <c r="E57" s="10"/>
      <c r="F57" s="10"/>
      <c r="G57" s="10"/>
      <c r="H57" s="10"/>
      <c r="I57" s="10"/>
      <c r="J57" s="10"/>
      <c r="K57" s="10"/>
    </row>
    <row r="58" ht="15.75" customHeight="1">
      <c r="A58" s="10"/>
      <c r="B58" s="10"/>
      <c r="C58" s="10"/>
      <c r="D58" s="10"/>
      <c r="E58" s="10"/>
      <c r="F58" s="10"/>
      <c r="G58" s="10"/>
      <c r="H58" s="10"/>
      <c r="I58" s="10"/>
      <c r="J58" s="10"/>
      <c r="K58" s="10"/>
    </row>
    <row r="59" ht="15.75" customHeight="1">
      <c r="A59" s="10"/>
      <c r="B59" s="10"/>
      <c r="C59" s="10"/>
      <c r="D59" s="10"/>
      <c r="E59" s="10"/>
      <c r="F59" s="10"/>
      <c r="G59" s="10"/>
      <c r="H59" s="10"/>
      <c r="I59" s="10"/>
      <c r="J59" s="10"/>
      <c r="K59" s="10"/>
    </row>
    <row r="60" ht="15.75" customHeight="1">
      <c r="A60" s="10"/>
      <c r="B60" s="10"/>
      <c r="C60" s="10"/>
      <c r="D60" s="10"/>
      <c r="E60" s="10"/>
      <c r="F60" s="10"/>
      <c r="G60" s="10"/>
      <c r="H60" s="10"/>
      <c r="I60" s="10"/>
      <c r="J60" s="10"/>
      <c r="K60" s="10"/>
    </row>
    <row r="61" ht="15.75" customHeight="1">
      <c r="A61" s="10"/>
      <c r="B61" s="10"/>
      <c r="C61" s="10"/>
      <c r="D61" s="10"/>
      <c r="E61" s="10"/>
      <c r="F61" s="10"/>
      <c r="G61" s="10"/>
      <c r="H61" s="10"/>
      <c r="I61" s="10"/>
      <c r="J61" s="10"/>
      <c r="K61" s="10"/>
    </row>
    <row r="62" ht="15.75" customHeight="1">
      <c r="A62" s="10"/>
      <c r="B62" s="10"/>
      <c r="C62" s="10"/>
      <c r="D62" s="10"/>
      <c r="E62" s="10"/>
      <c r="F62" s="10"/>
      <c r="G62" s="10"/>
      <c r="H62" s="10"/>
      <c r="I62" s="10"/>
      <c r="J62" s="10"/>
      <c r="K62" s="10"/>
    </row>
    <row r="63" ht="15.75" customHeight="1">
      <c r="A63" s="10"/>
      <c r="B63" s="10"/>
      <c r="C63" s="10"/>
      <c r="D63" s="10"/>
      <c r="E63" s="10"/>
      <c r="F63" s="10"/>
      <c r="G63" s="10"/>
      <c r="H63" s="10"/>
      <c r="I63" s="10"/>
      <c r="J63" s="10"/>
      <c r="K63" s="10"/>
    </row>
    <row r="64" ht="15.75" customHeight="1">
      <c r="A64" s="10"/>
      <c r="B64" s="10"/>
      <c r="C64" s="10"/>
      <c r="D64" s="10"/>
      <c r="E64" s="10"/>
      <c r="F64" s="10"/>
      <c r="G64" s="10"/>
      <c r="H64" s="10"/>
      <c r="I64" s="10"/>
      <c r="J64" s="10"/>
      <c r="K64" s="10"/>
    </row>
    <row r="65" ht="15.75" customHeight="1">
      <c r="A65" s="10"/>
      <c r="B65" s="10"/>
      <c r="C65" s="10"/>
      <c r="D65" s="10"/>
      <c r="E65" s="10"/>
      <c r="F65" s="10"/>
      <c r="G65" s="10"/>
      <c r="H65" s="10"/>
      <c r="I65" s="10"/>
      <c r="J65" s="10"/>
      <c r="K65" s="10"/>
    </row>
    <row r="66" ht="15.75" customHeight="1">
      <c r="A66" s="10"/>
      <c r="B66" s="10"/>
      <c r="C66" s="10"/>
      <c r="D66" s="10"/>
      <c r="E66" s="10"/>
      <c r="F66" s="10"/>
      <c r="G66" s="10"/>
      <c r="H66" s="10"/>
      <c r="I66" s="10"/>
      <c r="J66" s="10"/>
      <c r="K66" s="10"/>
    </row>
    <row r="67" ht="15.75" customHeight="1">
      <c r="A67" s="10"/>
      <c r="B67" s="10"/>
      <c r="C67" s="10"/>
      <c r="D67" s="10"/>
      <c r="E67" s="10"/>
      <c r="F67" s="10"/>
      <c r="G67" s="10"/>
      <c r="H67" s="10"/>
      <c r="I67" s="10"/>
      <c r="J67" s="10"/>
      <c r="K67" s="10"/>
    </row>
    <row r="68" ht="15.75" customHeight="1">
      <c r="A68" s="10"/>
      <c r="B68" s="10"/>
      <c r="C68" s="10"/>
      <c r="D68" s="10"/>
      <c r="E68" s="10"/>
      <c r="F68" s="10"/>
      <c r="G68" s="10"/>
      <c r="H68" s="10"/>
      <c r="I68" s="10"/>
      <c r="J68" s="10"/>
      <c r="K68" s="10"/>
    </row>
    <row r="69" ht="15.75" customHeight="1">
      <c r="A69" s="10"/>
      <c r="B69" s="10"/>
      <c r="C69" s="10"/>
      <c r="D69" s="10"/>
      <c r="E69" s="10"/>
      <c r="F69" s="10"/>
      <c r="G69" s="10"/>
      <c r="H69" s="10"/>
      <c r="I69" s="10"/>
      <c r="J69" s="10"/>
      <c r="K69" s="10"/>
    </row>
    <row r="70" ht="15.75" customHeight="1">
      <c r="A70" s="10"/>
      <c r="B70" s="10"/>
      <c r="C70" s="10"/>
      <c r="D70" s="10"/>
      <c r="E70" s="10"/>
      <c r="F70" s="10"/>
      <c r="G70" s="10"/>
      <c r="H70" s="10"/>
      <c r="I70" s="10"/>
      <c r="J70" s="10"/>
      <c r="K70" s="10"/>
    </row>
    <row r="71" ht="15.75" customHeight="1">
      <c r="A71" s="10"/>
      <c r="B71" s="10"/>
      <c r="C71" s="10"/>
      <c r="D71" s="10"/>
      <c r="E71" s="10"/>
      <c r="F71" s="10"/>
      <c r="G71" s="10"/>
      <c r="H71" s="10"/>
      <c r="I71" s="10"/>
      <c r="J71" s="10"/>
      <c r="K71" s="10"/>
    </row>
    <row r="72" ht="15.75" customHeight="1">
      <c r="A72" s="10"/>
      <c r="B72" s="10"/>
      <c r="C72" s="10"/>
      <c r="D72" s="10"/>
      <c r="E72" s="10"/>
      <c r="F72" s="10"/>
      <c r="G72" s="10"/>
      <c r="H72" s="10"/>
      <c r="I72" s="10"/>
      <c r="J72" s="10"/>
      <c r="K72" s="10"/>
    </row>
    <row r="73" ht="15.75" customHeight="1">
      <c r="A73" s="10"/>
      <c r="B73" s="10"/>
      <c r="C73" s="10"/>
      <c r="D73" s="10"/>
      <c r="E73" s="10"/>
      <c r="F73" s="10"/>
      <c r="G73" s="10"/>
      <c r="H73" s="10"/>
      <c r="I73" s="10"/>
      <c r="J73" s="10"/>
      <c r="K73" s="10"/>
    </row>
    <row r="74" ht="15.75" customHeight="1">
      <c r="A74" s="10"/>
      <c r="B74" s="10"/>
      <c r="C74" s="10"/>
      <c r="D74" s="10"/>
      <c r="E74" s="10"/>
      <c r="F74" s="10"/>
      <c r="G74" s="10"/>
      <c r="H74" s="10"/>
      <c r="I74" s="10"/>
      <c r="J74" s="10"/>
      <c r="K74" s="10"/>
    </row>
    <row r="75" ht="15.75" customHeight="1">
      <c r="A75" s="10"/>
      <c r="B75" s="10"/>
      <c r="C75" s="10"/>
      <c r="D75" s="10"/>
      <c r="E75" s="10"/>
      <c r="F75" s="10"/>
      <c r="G75" s="10"/>
      <c r="H75" s="10"/>
      <c r="I75" s="10"/>
      <c r="J75" s="10"/>
      <c r="K75" s="10"/>
    </row>
    <row r="76" ht="15.75" customHeight="1">
      <c r="A76" s="10"/>
      <c r="B76" s="10"/>
      <c r="C76" s="10"/>
      <c r="D76" s="10"/>
      <c r="E76" s="10"/>
      <c r="F76" s="10"/>
      <c r="G76" s="10"/>
      <c r="H76" s="10"/>
      <c r="I76" s="10"/>
      <c r="J76" s="10"/>
      <c r="K76" s="10"/>
    </row>
    <row r="77" ht="15.75" customHeight="1">
      <c r="A77" s="10"/>
      <c r="B77" s="10"/>
      <c r="C77" s="10"/>
      <c r="D77" s="10"/>
      <c r="E77" s="10"/>
      <c r="F77" s="10"/>
      <c r="G77" s="10"/>
      <c r="H77" s="10"/>
      <c r="I77" s="10"/>
      <c r="J77" s="10"/>
      <c r="K77" s="10"/>
    </row>
    <row r="78" ht="15.75" customHeight="1">
      <c r="A78" s="10"/>
      <c r="B78" s="10"/>
      <c r="C78" s="10"/>
      <c r="D78" s="10"/>
      <c r="E78" s="10"/>
      <c r="F78" s="10"/>
      <c r="G78" s="10"/>
      <c r="H78" s="10"/>
      <c r="I78" s="10"/>
      <c r="J78" s="10"/>
      <c r="K78" s="10"/>
    </row>
    <row r="79" ht="15.75" customHeight="1">
      <c r="A79" s="10"/>
      <c r="B79" s="10"/>
      <c r="C79" s="10"/>
      <c r="D79" s="10"/>
      <c r="E79" s="10"/>
      <c r="F79" s="10"/>
      <c r="G79" s="10"/>
      <c r="H79" s="10"/>
      <c r="I79" s="10"/>
      <c r="J79" s="10"/>
      <c r="K79" s="10"/>
    </row>
    <row r="80" ht="15.75" customHeight="1">
      <c r="A80" s="10"/>
      <c r="B80" s="10"/>
      <c r="C80" s="10"/>
      <c r="D80" s="10"/>
      <c r="E80" s="10"/>
      <c r="F80" s="10"/>
      <c r="G80" s="10"/>
      <c r="H80" s="10"/>
      <c r="I80" s="10"/>
      <c r="J80" s="10"/>
      <c r="K80" s="10"/>
    </row>
    <row r="81" ht="15.75" customHeight="1">
      <c r="A81" s="10"/>
      <c r="B81" s="10"/>
      <c r="C81" s="10"/>
      <c r="D81" s="10"/>
      <c r="E81" s="10"/>
      <c r="F81" s="10"/>
      <c r="G81" s="10"/>
      <c r="H81" s="10"/>
      <c r="I81" s="10"/>
      <c r="J81" s="10"/>
      <c r="K81" s="10"/>
    </row>
    <row r="82" ht="15.75" customHeight="1">
      <c r="A82" s="10"/>
      <c r="B82" s="10"/>
      <c r="C82" s="10"/>
      <c r="D82" s="10"/>
      <c r="E82" s="10"/>
      <c r="F82" s="10"/>
      <c r="G82" s="10"/>
      <c r="H82" s="10"/>
      <c r="I82" s="10"/>
      <c r="J82" s="10"/>
      <c r="K82" s="10"/>
    </row>
    <row r="83" ht="15.75" customHeight="1">
      <c r="A83" s="10"/>
      <c r="B83" s="10"/>
      <c r="C83" s="10"/>
      <c r="D83" s="10"/>
      <c r="E83" s="10"/>
      <c r="F83" s="10"/>
      <c r="G83" s="10"/>
      <c r="H83" s="10"/>
      <c r="I83" s="10"/>
      <c r="J83" s="10"/>
      <c r="K83" s="10"/>
    </row>
    <row r="84" ht="15.75" customHeight="1">
      <c r="A84" s="10"/>
      <c r="B84" s="10"/>
      <c r="C84" s="10"/>
      <c r="D84" s="10"/>
      <c r="E84" s="10"/>
      <c r="F84" s="10"/>
      <c r="G84" s="10"/>
      <c r="H84" s="10"/>
      <c r="I84" s="10"/>
      <c r="J84" s="10"/>
      <c r="K84" s="10"/>
    </row>
    <row r="85" ht="15.75" customHeight="1">
      <c r="A85" s="10"/>
      <c r="B85" s="10"/>
      <c r="C85" s="10"/>
      <c r="D85" s="10"/>
      <c r="E85" s="10"/>
      <c r="F85" s="10"/>
      <c r="G85" s="10"/>
      <c r="H85" s="10"/>
      <c r="I85" s="10"/>
      <c r="J85" s="10"/>
      <c r="K85" s="10"/>
    </row>
    <row r="86" ht="15.75" customHeight="1">
      <c r="A86" s="10"/>
      <c r="B86" s="10"/>
      <c r="C86" s="10"/>
      <c r="D86" s="10"/>
      <c r="E86" s="10"/>
      <c r="F86" s="10"/>
      <c r="G86" s="10"/>
      <c r="H86" s="10"/>
      <c r="I86" s="10"/>
      <c r="J86" s="10"/>
      <c r="K86" s="10"/>
    </row>
    <row r="87" ht="15.75" customHeight="1">
      <c r="A87" s="10"/>
      <c r="B87" s="10"/>
      <c r="C87" s="10"/>
      <c r="D87" s="10"/>
      <c r="E87" s="10"/>
      <c r="F87" s="10"/>
      <c r="G87" s="10"/>
      <c r="H87" s="10"/>
      <c r="I87" s="10"/>
      <c r="J87" s="10"/>
      <c r="K87" s="10"/>
    </row>
    <row r="88" ht="15.75" customHeight="1">
      <c r="A88" s="10"/>
      <c r="B88" s="10"/>
      <c r="C88" s="10"/>
      <c r="D88" s="10"/>
      <c r="E88" s="10"/>
      <c r="F88" s="10"/>
      <c r="G88" s="10"/>
      <c r="H88" s="10"/>
      <c r="I88" s="10"/>
      <c r="J88" s="10"/>
      <c r="K88" s="10"/>
    </row>
    <row r="89" ht="15.75" customHeight="1">
      <c r="A89" s="10"/>
      <c r="B89" s="10"/>
      <c r="C89" s="10"/>
      <c r="D89" s="10"/>
      <c r="E89" s="10"/>
      <c r="F89" s="10"/>
      <c r="G89" s="10"/>
      <c r="H89" s="10"/>
      <c r="I89" s="10"/>
      <c r="J89" s="10"/>
      <c r="K89" s="10"/>
    </row>
    <row r="90" ht="15.75" customHeight="1">
      <c r="A90" s="10"/>
      <c r="B90" s="10"/>
      <c r="C90" s="10"/>
      <c r="D90" s="10"/>
      <c r="E90" s="10"/>
      <c r="F90" s="10"/>
      <c r="G90" s="10"/>
      <c r="H90" s="10"/>
      <c r="I90" s="10"/>
      <c r="J90" s="10"/>
      <c r="K90" s="10"/>
    </row>
    <row r="91" ht="15.75" customHeight="1">
      <c r="A91" s="10"/>
      <c r="B91" s="10"/>
      <c r="C91" s="10"/>
      <c r="D91" s="10"/>
      <c r="E91" s="10"/>
      <c r="F91" s="10"/>
      <c r="G91" s="10"/>
      <c r="H91" s="10"/>
      <c r="I91" s="10"/>
      <c r="J91" s="10"/>
      <c r="K91" s="10"/>
    </row>
    <row r="92" ht="15.75" customHeight="1">
      <c r="A92" s="10"/>
      <c r="B92" s="10"/>
      <c r="C92" s="10"/>
      <c r="D92" s="10"/>
      <c r="E92" s="10"/>
      <c r="F92" s="10"/>
      <c r="G92" s="10"/>
      <c r="H92" s="10"/>
      <c r="I92" s="10"/>
      <c r="J92" s="10"/>
      <c r="K92" s="10"/>
    </row>
    <row r="93" ht="15.75" customHeight="1">
      <c r="A93" s="10"/>
      <c r="B93" s="10"/>
      <c r="C93" s="10"/>
      <c r="D93" s="10"/>
      <c r="E93" s="10"/>
      <c r="F93" s="10"/>
      <c r="G93" s="10"/>
      <c r="H93" s="10"/>
      <c r="I93" s="10"/>
      <c r="J93" s="10"/>
      <c r="K93" s="10"/>
    </row>
    <row r="94" ht="15.75" customHeight="1">
      <c r="A94" s="10"/>
      <c r="B94" s="10"/>
      <c r="C94" s="10"/>
      <c r="D94" s="10"/>
      <c r="E94" s="10"/>
      <c r="F94" s="10"/>
      <c r="G94" s="10"/>
      <c r="H94" s="10"/>
      <c r="I94" s="10"/>
      <c r="J94" s="10"/>
      <c r="K94" s="10"/>
    </row>
    <row r="95" ht="15.75" customHeight="1">
      <c r="A95" s="10"/>
      <c r="B95" s="10"/>
      <c r="C95" s="10"/>
      <c r="D95" s="10"/>
      <c r="E95" s="10"/>
      <c r="F95" s="10"/>
      <c r="G95" s="10"/>
      <c r="H95" s="10"/>
      <c r="I95" s="10"/>
      <c r="J95" s="10"/>
      <c r="K95" s="10"/>
    </row>
    <row r="96" ht="15.75" customHeight="1">
      <c r="A96" s="10"/>
      <c r="B96" s="10"/>
      <c r="C96" s="10"/>
      <c r="D96" s="10"/>
      <c r="E96" s="10"/>
      <c r="F96" s="10"/>
      <c r="G96" s="10"/>
      <c r="H96" s="10"/>
      <c r="I96" s="10"/>
      <c r="J96" s="10"/>
      <c r="K96" s="10"/>
    </row>
    <row r="97" ht="15.75" customHeight="1">
      <c r="A97" s="10"/>
      <c r="B97" s="10"/>
      <c r="C97" s="10"/>
      <c r="D97" s="10"/>
      <c r="E97" s="10"/>
      <c r="F97" s="10"/>
      <c r="G97" s="10"/>
      <c r="H97" s="10"/>
      <c r="I97" s="10"/>
      <c r="J97" s="10"/>
      <c r="K97" s="10"/>
    </row>
    <row r="98" ht="15.75" customHeight="1">
      <c r="A98" s="10"/>
      <c r="B98" s="10"/>
      <c r="C98" s="10"/>
      <c r="D98" s="10"/>
      <c r="E98" s="10"/>
      <c r="F98" s="10"/>
      <c r="G98" s="10"/>
      <c r="H98" s="10"/>
      <c r="I98" s="10"/>
      <c r="J98" s="10"/>
      <c r="K98" s="10"/>
    </row>
    <row r="99" ht="15.75" customHeight="1">
      <c r="A99" s="10"/>
      <c r="B99" s="10"/>
      <c r="C99" s="10"/>
      <c r="D99" s="10"/>
      <c r="E99" s="10"/>
      <c r="F99" s="10"/>
      <c r="G99" s="10"/>
      <c r="H99" s="10"/>
      <c r="I99" s="10"/>
      <c r="J99" s="10"/>
      <c r="K99" s="10"/>
    </row>
    <row r="100" ht="15.75" customHeight="1">
      <c r="A100" s="10"/>
      <c r="B100" s="10"/>
      <c r="C100" s="10"/>
      <c r="D100" s="10"/>
      <c r="E100" s="10"/>
      <c r="F100" s="10"/>
      <c r="G100" s="10"/>
      <c r="H100" s="10"/>
      <c r="I100" s="10"/>
      <c r="J100" s="10"/>
      <c r="K100" s="10"/>
    </row>
  </sheetData>
  <mergeCells count="3">
    <mergeCell ref="A3:H3"/>
    <mergeCell ref="A38:H38"/>
    <mergeCell ref="A1:H1"/>
  </mergeCells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B050"/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34.0"/>
    <col customWidth="1" min="2" max="2" width="20.0"/>
    <col customWidth="1" min="3" max="11" width="16.0"/>
    <col customWidth="1" min="12" max="12" width="24.71"/>
    <col customWidth="1" min="13" max="13" width="21.0"/>
    <col customWidth="1" min="14" max="14" width="22.14"/>
    <col customWidth="1" min="15" max="21" width="9.14"/>
  </cols>
  <sheetData>
    <row r="1" ht="25.5" customHeight="1">
      <c r="A1" s="62" t="s">
        <v>109</v>
      </c>
      <c r="B1" s="63"/>
      <c r="C1" s="63"/>
      <c r="D1" s="63"/>
      <c r="E1" s="63"/>
      <c r="F1" s="63"/>
      <c r="G1" s="63"/>
      <c r="H1" s="63"/>
      <c r="I1" s="63"/>
      <c r="J1" s="63"/>
      <c r="K1" s="64"/>
      <c r="L1" s="65" t="s">
        <v>109</v>
      </c>
      <c r="M1" s="63"/>
      <c r="N1" s="63"/>
      <c r="O1" s="63"/>
      <c r="P1" s="63"/>
      <c r="Q1" s="63"/>
      <c r="R1" s="63"/>
      <c r="S1" s="63"/>
      <c r="T1" s="63"/>
      <c r="U1" s="66"/>
    </row>
    <row r="2">
      <c r="A2" s="10"/>
      <c r="B2" s="10"/>
      <c r="C2" s="10"/>
      <c r="D2" s="10"/>
      <c r="E2" s="10"/>
      <c r="F2" s="10"/>
      <c r="G2" s="10"/>
      <c r="H2" s="10"/>
      <c r="I2" s="10"/>
      <c r="J2" s="67"/>
      <c r="K2" s="68"/>
      <c r="L2" s="10"/>
      <c r="M2" s="10"/>
      <c r="N2" s="10"/>
      <c r="O2" s="10"/>
      <c r="P2" s="10"/>
      <c r="Q2" s="10"/>
      <c r="R2" s="10"/>
      <c r="S2" s="10"/>
      <c r="T2" s="10"/>
      <c r="U2" s="10"/>
    </row>
    <row r="3">
      <c r="A3" s="69" t="s">
        <v>110</v>
      </c>
      <c r="B3" s="70"/>
      <c r="C3" s="70"/>
      <c r="D3" s="70"/>
      <c r="E3" s="70"/>
      <c r="F3" s="70"/>
      <c r="G3" s="70"/>
      <c r="H3" s="70"/>
      <c r="I3" s="70"/>
      <c r="J3" s="70"/>
      <c r="K3" s="71"/>
      <c r="L3" s="72" t="s">
        <v>111</v>
      </c>
      <c r="M3" s="63"/>
      <c r="N3" s="63"/>
      <c r="O3" s="63"/>
      <c r="P3" s="63"/>
      <c r="Q3" s="63"/>
      <c r="R3" s="63"/>
      <c r="S3" s="63"/>
      <c r="T3" s="63"/>
      <c r="U3" s="66"/>
    </row>
    <row r="4">
      <c r="A4" s="39" t="s">
        <v>112</v>
      </c>
      <c r="B4" s="73" t="str">
        <f>JOB_INPUTS!B6</f>
        <v>  300,000 </v>
      </c>
      <c r="C4" s="39" t="s">
        <v>105</v>
      </c>
      <c r="D4" s="74"/>
      <c r="E4" s="10"/>
      <c r="F4" s="74"/>
      <c r="G4" s="10"/>
      <c r="H4" s="74"/>
      <c r="I4" s="10"/>
      <c r="J4" s="74"/>
      <c r="K4" s="68"/>
      <c r="L4" s="39" t="s">
        <v>112</v>
      </c>
      <c r="M4" s="75" t="str">
        <f t="shared" ref="M4:M5" si="1">B4/2</f>
        <v>150000</v>
      </c>
      <c r="N4" s="39" t="s">
        <v>105</v>
      </c>
      <c r="O4" s="10"/>
      <c r="P4" s="10"/>
      <c r="Q4" s="10"/>
      <c r="R4" s="10"/>
      <c r="S4" s="10"/>
      <c r="T4" s="10"/>
      <c r="U4" s="10"/>
    </row>
    <row r="5">
      <c r="A5" s="39" t="s">
        <v>104</v>
      </c>
      <c r="B5" s="75" t="str">
        <f>JOB_INPUTS!B39</f>
        <v>5</v>
      </c>
      <c r="C5" s="39" t="s">
        <v>105</v>
      </c>
      <c r="D5" s="10"/>
      <c r="E5" s="74"/>
      <c r="F5" s="10"/>
      <c r="G5" s="74"/>
      <c r="H5" s="10"/>
      <c r="I5" s="74"/>
      <c r="J5" s="10"/>
      <c r="K5" s="68"/>
      <c r="L5" s="39" t="s">
        <v>104</v>
      </c>
      <c r="M5" s="75" t="str">
        <f t="shared" si="1"/>
        <v>2.5</v>
      </c>
      <c r="N5" s="39" t="s">
        <v>105</v>
      </c>
      <c r="O5" s="10"/>
      <c r="P5" s="10"/>
      <c r="Q5" s="10"/>
      <c r="R5" s="10"/>
      <c r="S5" s="10"/>
      <c r="T5" s="10"/>
      <c r="U5" s="10"/>
    </row>
    <row r="6">
      <c r="A6" s="39" t="s">
        <v>113</v>
      </c>
      <c r="B6" s="75" t="str">
        <f>CYLINDER_SELECTOR!B23</f>
        <v>4</v>
      </c>
      <c r="C6" s="39" t="s">
        <v>105</v>
      </c>
      <c r="D6" s="10"/>
      <c r="E6" s="74"/>
      <c r="F6" s="10"/>
      <c r="G6" s="74"/>
      <c r="H6" s="10"/>
      <c r="I6" s="74"/>
      <c r="J6" s="10"/>
      <c r="K6" s="68"/>
      <c r="L6" s="39" t="s">
        <v>114</v>
      </c>
      <c r="M6" s="75" t="str">
        <f t="shared" ref="M6:M7" si="2">B6</f>
        <v>4</v>
      </c>
      <c r="N6" s="39" t="s">
        <v>105</v>
      </c>
      <c r="O6" s="10"/>
      <c r="P6" s="10"/>
      <c r="Q6" s="10"/>
      <c r="R6" s="10"/>
      <c r="S6" s="10"/>
      <c r="T6" s="10"/>
      <c r="U6" s="10"/>
    </row>
    <row r="7">
      <c r="A7" s="39" t="s">
        <v>70</v>
      </c>
      <c r="B7" s="75" t="str">
        <f>CYLINDER_SELECTOR!B24</f>
        <v>2.86875</v>
      </c>
      <c r="C7" s="39" t="s">
        <v>67</v>
      </c>
      <c r="D7" s="74"/>
      <c r="E7" s="10"/>
      <c r="F7" s="74"/>
      <c r="G7" s="10"/>
      <c r="H7" s="74"/>
      <c r="I7" s="10"/>
      <c r="J7" s="74"/>
      <c r="K7" s="68"/>
      <c r="L7" s="39" t="s">
        <v>70</v>
      </c>
      <c r="M7" s="75" t="str">
        <f t="shared" si="2"/>
        <v>2.86875</v>
      </c>
      <c r="N7" s="39" t="s">
        <v>115</v>
      </c>
      <c r="O7" s="10"/>
      <c r="P7" s="10"/>
      <c r="Q7" s="10"/>
      <c r="R7" s="10"/>
      <c r="S7" s="10"/>
      <c r="T7" s="10"/>
      <c r="U7" s="10"/>
    </row>
    <row r="8">
      <c r="A8" s="39" t="s">
        <v>116</v>
      </c>
      <c r="B8" s="75" t="str">
        <f>B5*B6</f>
        <v>20</v>
      </c>
      <c r="C8" s="39" t="s">
        <v>78</v>
      </c>
      <c r="D8" s="10"/>
      <c r="E8" s="74"/>
      <c r="F8" s="10"/>
      <c r="G8" s="74"/>
      <c r="H8" s="10"/>
      <c r="I8" s="74"/>
      <c r="J8" s="10"/>
      <c r="K8" s="68"/>
      <c r="L8" s="39" t="s">
        <v>116</v>
      </c>
      <c r="M8" s="75" t="str">
        <f>M5*M6</f>
        <v>10</v>
      </c>
      <c r="N8" s="39" t="s">
        <v>105</v>
      </c>
      <c r="O8" s="10"/>
      <c r="P8" s="10"/>
      <c r="Q8" s="10"/>
      <c r="R8" s="10"/>
      <c r="S8" s="10"/>
      <c r="T8" s="10"/>
      <c r="U8" s="10"/>
    </row>
    <row r="9">
      <c r="A9" s="39" t="s">
        <v>117</v>
      </c>
      <c r="B9" s="75" t="str">
        <f>CYLINDER_SELECTOR!B22</f>
        <v>371.475</v>
      </c>
      <c r="C9" s="39" t="s">
        <v>67</v>
      </c>
      <c r="D9" s="10"/>
      <c r="E9" s="74"/>
      <c r="F9" s="10"/>
      <c r="G9" s="74"/>
      <c r="H9" s="10"/>
      <c r="I9" s="74"/>
      <c r="J9" s="10"/>
      <c r="K9" s="68"/>
      <c r="L9" s="39" t="s">
        <v>117</v>
      </c>
      <c r="M9" s="75" t="str">
        <f>B9</f>
        <v>371.475</v>
      </c>
      <c r="N9" s="39" t="s">
        <v>67</v>
      </c>
      <c r="O9" s="10"/>
      <c r="P9" s="10"/>
      <c r="Q9" s="10"/>
      <c r="R9" s="10"/>
      <c r="S9" s="10"/>
      <c r="T9" s="10"/>
      <c r="U9" s="10"/>
    </row>
    <row r="10">
      <c r="A10" s="39" t="s">
        <v>118</v>
      </c>
      <c r="B10" s="75" t="str">
        <f>IFERROR((B4/B8)*B9/1000,0)</f>
        <v>5572.125</v>
      </c>
      <c r="C10" s="39" t="s">
        <v>115</v>
      </c>
      <c r="D10" s="74"/>
      <c r="E10" s="10"/>
      <c r="F10" s="74"/>
      <c r="G10" s="10"/>
      <c r="H10" s="74"/>
      <c r="I10" s="10"/>
      <c r="J10" s="74"/>
      <c r="K10" s="68"/>
      <c r="L10" s="39" t="s">
        <v>118</v>
      </c>
      <c r="M10" s="75" t="str">
        <f>IFERROR((M4/M8)*M9/1000,0)</f>
        <v>5572.125</v>
      </c>
      <c r="N10" s="39" t="s">
        <v>115</v>
      </c>
      <c r="O10" s="10"/>
      <c r="P10" s="10"/>
      <c r="Q10" s="10"/>
      <c r="R10" s="10"/>
      <c r="S10" s="10"/>
      <c r="T10" s="10"/>
      <c r="U10" s="10"/>
    </row>
    <row r="11">
      <c r="A11" s="39" t="s">
        <v>84</v>
      </c>
      <c r="B11" s="75" t="str">
        <f>JOB_INPUTS!B15*JOB_INPUTS!B23</f>
        <v>490</v>
      </c>
      <c r="C11" s="39" t="s">
        <v>115</v>
      </c>
      <c r="D11" s="10"/>
      <c r="E11" s="74"/>
      <c r="F11" s="10"/>
      <c r="G11" s="74"/>
      <c r="H11" s="10"/>
      <c r="I11" s="74"/>
      <c r="J11" s="10"/>
      <c r="K11" s="68"/>
      <c r="L11" s="39" t="s">
        <v>84</v>
      </c>
      <c r="M11" s="75" t="str">
        <f t="shared" ref="M11:M12" si="3">B11*2</f>
        <v>980</v>
      </c>
      <c r="N11" s="39" t="s">
        <v>115</v>
      </c>
      <c r="O11" s="10"/>
      <c r="P11" s="10"/>
      <c r="Q11" s="10"/>
      <c r="R11" s="10"/>
      <c r="S11" s="10"/>
      <c r="T11" s="10"/>
      <c r="U11" s="10"/>
    </row>
    <row r="12">
      <c r="A12" s="39" t="s">
        <v>119</v>
      </c>
      <c r="B12" s="75" t="str">
        <f>B10*(JOB_INPUTS!B25/100)</f>
        <v>557.2125</v>
      </c>
      <c r="C12" s="39" t="s">
        <v>115</v>
      </c>
      <c r="D12" s="10"/>
      <c r="E12" s="74"/>
      <c r="F12" s="10"/>
      <c r="G12" s="74"/>
      <c r="H12" s="10"/>
      <c r="I12" s="74"/>
      <c r="J12" s="10"/>
      <c r="K12" s="68"/>
      <c r="L12" s="39" t="s">
        <v>119</v>
      </c>
      <c r="M12" s="75" t="str">
        <f t="shared" si="3"/>
        <v>1114.425</v>
      </c>
      <c r="N12" s="39" t="s">
        <v>115</v>
      </c>
      <c r="O12" s="10"/>
      <c r="P12" s="10"/>
      <c r="Q12" s="10"/>
      <c r="R12" s="10"/>
      <c r="S12" s="10"/>
      <c r="T12" s="10"/>
      <c r="U12" s="10"/>
    </row>
    <row r="13">
      <c r="A13" s="39" t="s">
        <v>120</v>
      </c>
      <c r="B13" s="75" t="str">
        <f>SUM(B10:B12)</f>
        <v>6619.3375</v>
      </c>
      <c r="C13" s="39" t="s">
        <v>115</v>
      </c>
      <c r="D13" s="74"/>
      <c r="E13" s="10"/>
      <c r="F13" s="74"/>
      <c r="G13" s="10"/>
      <c r="H13" s="74"/>
      <c r="I13" s="10"/>
      <c r="J13" s="74"/>
      <c r="K13" s="68"/>
      <c r="L13" s="39" t="s">
        <v>120</v>
      </c>
      <c r="M13" s="75" t="str">
        <f>SUM(M10:M12)</f>
        <v>7666.55</v>
      </c>
      <c r="N13" s="39" t="s">
        <v>115</v>
      </c>
      <c r="O13" s="10"/>
      <c r="P13" s="10"/>
      <c r="Q13" s="10"/>
      <c r="R13" s="10"/>
      <c r="S13" s="10"/>
      <c r="T13" s="10"/>
      <c r="U13" s="10"/>
    </row>
    <row r="14">
      <c r="A14" s="39" t="s">
        <v>86</v>
      </c>
      <c r="B14" s="75" t="str">
        <f>JOB_INPUTS!B24</f>
        <v>2000</v>
      </c>
      <c r="C14" s="39" t="s">
        <v>87</v>
      </c>
      <c r="D14" s="10"/>
      <c r="E14" s="74"/>
      <c r="F14" s="10"/>
      <c r="G14" s="74"/>
      <c r="H14" s="10"/>
      <c r="I14" s="74"/>
      <c r="J14" s="10"/>
      <c r="K14" s="68"/>
      <c r="L14" s="39" t="s">
        <v>86</v>
      </c>
      <c r="M14" s="75" t="str">
        <f>B14</f>
        <v>2000</v>
      </c>
      <c r="N14" s="39" t="s">
        <v>87</v>
      </c>
      <c r="O14" s="10"/>
      <c r="P14" s="10"/>
      <c r="Q14" s="10"/>
      <c r="R14" s="10"/>
      <c r="S14" s="10"/>
      <c r="T14" s="10"/>
      <c r="U14" s="10"/>
    </row>
    <row r="15">
      <c r="A15" s="39" t="s">
        <v>89</v>
      </c>
      <c r="B15" s="75" t="str">
        <f>ROUNDUP(B13/B14,0)</f>
        <v>4</v>
      </c>
      <c r="C15" s="39" t="s">
        <v>90</v>
      </c>
      <c r="D15" s="10"/>
      <c r="E15" s="74"/>
      <c r="F15" s="10"/>
      <c r="G15" s="74"/>
      <c r="H15" s="10"/>
      <c r="I15" s="74"/>
      <c r="J15" s="10"/>
      <c r="K15" s="68"/>
      <c r="L15" s="39" t="s">
        <v>89</v>
      </c>
      <c r="M15" s="75" t="str">
        <f>ROUNDUP(M13/M14,0)</f>
        <v>4</v>
      </c>
      <c r="N15" s="39" t="s">
        <v>90</v>
      </c>
      <c r="O15" s="10"/>
      <c r="P15" s="10"/>
      <c r="Q15" s="10"/>
      <c r="R15" s="10"/>
      <c r="S15" s="10"/>
      <c r="T15" s="10"/>
      <c r="U15" s="10"/>
    </row>
    <row r="16">
      <c r="A16" s="39" t="s">
        <v>121</v>
      </c>
      <c r="B16" s="75" t="str">
        <f>JOB_INPUTS!B41</f>
        <v>325</v>
      </c>
      <c r="C16" s="39" t="s">
        <v>67</v>
      </c>
      <c r="D16" s="74"/>
      <c r="E16" s="10"/>
      <c r="F16" s="74"/>
      <c r="G16" s="10"/>
      <c r="H16" s="74"/>
      <c r="I16" s="10"/>
      <c r="J16" s="74"/>
      <c r="K16" s="68"/>
      <c r="L16" s="39" t="s">
        <v>121</v>
      </c>
      <c r="M16" s="75" t="str">
        <f>B16</f>
        <v>325</v>
      </c>
      <c r="N16" s="39" t="s">
        <v>67</v>
      </c>
      <c r="O16" s="10"/>
      <c r="P16" s="10"/>
      <c r="Q16" s="10"/>
      <c r="R16" s="10"/>
      <c r="S16" s="10"/>
      <c r="T16" s="10"/>
      <c r="U16" s="10"/>
    </row>
    <row r="17">
      <c r="A17" s="39" t="s">
        <v>122</v>
      </c>
      <c r="B17" s="75" t="str">
        <f>B13*B16/1000</f>
        <v>2151.284688</v>
      </c>
      <c r="C17" s="39" t="s">
        <v>123</v>
      </c>
      <c r="D17" s="10"/>
      <c r="E17" s="74"/>
      <c r="F17" s="10"/>
      <c r="G17" s="74"/>
      <c r="H17" s="10"/>
      <c r="I17" s="74"/>
      <c r="J17" s="10"/>
      <c r="K17" s="68"/>
      <c r="L17" s="39" t="s">
        <v>122</v>
      </c>
      <c r="M17" s="75" t="str">
        <f>M13*M16/1000</f>
        <v>2491.62875</v>
      </c>
      <c r="N17" s="76" t="s">
        <v>123</v>
      </c>
      <c r="O17" s="10"/>
      <c r="P17" s="10"/>
      <c r="Q17" s="10"/>
      <c r="R17" s="10"/>
      <c r="S17" s="10"/>
      <c r="T17" s="10"/>
      <c r="U17" s="10"/>
    </row>
    <row r="18">
      <c r="A18" s="74"/>
      <c r="B18" s="10"/>
      <c r="C18" s="74"/>
      <c r="D18" s="10"/>
      <c r="E18" s="74"/>
      <c r="F18" s="10"/>
      <c r="G18" s="74"/>
      <c r="H18" s="10"/>
      <c r="I18" s="74"/>
      <c r="J18" s="10"/>
      <c r="K18" s="68"/>
      <c r="L18" s="10"/>
      <c r="M18" s="10"/>
      <c r="N18" s="10"/>
      <c r="O18" s="10"/>
      <c r="P18" s="10"/>
      <c r="Q18" s="10"/>
      <c r="R18" s="10"/>
      <c r="S18" s="10"/>
      <c r="T18" s="10"/>
      <c r="U18" s="10"/>
    </row>
    <row r="19">
      <c r="A19" s="10"/>
      <c r="B19" s="74"/>
      <c r="C19" s="10"/>
      <c r="D19" s="74"/>
      <c r="E19" s="10"/>
      <c r="F19" s="74"/>
      <c r="G19" s="10"/>
      <c r="H19" s="74"/>
      <c r="I19" s="10"/>
      <c r="J19" s="74"/>
      <c r="K19" s="68"/>
      <c r="L19" s="10"/>
      <c r="M19" s="10"/>
      <c r="N19" s="10"/>
      <c r="O19" s="10"/>
      <c r="P19" s="10"/>
      <c r="Q19" s="10"/>
      <c r="R19" s="10"/>
      <c r="S19" s="10"/>
      <c r="T19" s="10"/>
      <c r="U19" s="10"/>
    </row>
    <row r="20">
      <c r="A20" s="74"/>
      <c r="B20" s="10"/>
      <c r="C20" s="74"/>
      <c r="D20" s="10"/>
      <c r="E20" s="74"/>
      <c r="F20" s="10"/>
      <c r="G20" s="74"/>
      <c r="H20" s="10"/>
      <c r="I20" s="74"/>
      <c r="J20" s="10"/>
      <c r="K20" s="68"/>
      <c r="L20" s="10"/>
      <c r="M20" s="10"/>
      <c r="N20" s="10"/>
      <c r="O20" s="10"/>
      <c r="P20" s="10"/>
      <c r="Q20" s="10"/>
      <c r="R20" s="10"/>
      <c r="S20" s="10"/>
      <c r="T20" s="10"/>
      <c r="U20" s="10"/>
    </row>
    <row r="21" ht="15.75" customHeight="1">
      <c r="A21" s="77" t="s">
        <v>124</v>
      </c>
      <c r="B21" s="78"/>
      <c r="C21" s="78"/>
      <c r="D21" s="78"/>
      <c r="E21" s="78"/>
      <c r="F21" s="78"/>
      <c r="G21" s="78"/>
      <c r="H21" s="78"/>
      <c r="I21" s="78"/>
      <c r="J21" s="78"/>
      <c r="K21" s="79"/>
      <c r="L21" s="72" t="s">
        <v>125</v>
      </c>
      <c r="M21" s="63"/>
      <c r="N21" s="63"/>
      <c r="O21" s="63"/>
      <c r="P21" s="63"/>
      <c r="Q21" s="63"/>
      <c r="R21" s="63"/>
      <c r="S21" s="63"/>
      <c r="T21" s="63"/>
      <c r="U21" s="66"/>
    </row>
    <row r="22" ht="15.75" customHeight="1">
      <c r="A22" s="80" t="s">
        <v>126</v>
      </c>
      <c r="B22" s="81" t="str">
        <f>IFERROR(B13/JOB_INPUTS!B14,0)</f>
        <v>94.56196429</v>
      </c>
      <c r="C22" s="80" t="s">
        <v>127</v>
      </c>
      <c r="D22" s="10"/>
      <c r="E22" s="74"/>
      <c r="F22" s="10"/>
      <c r="G22" s="74"/>
      <c r="H22" s="10"/>
      <c r="I22" s="74"/>
      <c r="J22" s="67"/>
      <c r="K22" s="68"/>
      <c r="L22" s="39" t="s">
        <v>126</v>
      </c>
      <c r="M22" s="75" t="str">
        <f>IFERROR(M13/JOB_INPUTS!B14,0)</f>
        <v>109.5221429</v>
      </c>
      <c r="N22" s="39" t="s">
        <v>127</v>
      </c>
      <c r="O22" s="10"/>
      <c r="P22" s="10"/>
      <c r="Q22" s="10"/>
      <c r="R22" s="10"/>
      <c r="S22" s="10"/>
      <c r="T22" s="10"/>
      <c r="U22" s="10"/>
    </row>
    <row r="23" ht="15.75" customHeight="1">
      <c r="A23" s="39" t="s">
        <v>128</v>
      </c>
      <c r="B23" s="40">
        <v>60.0</v>
      </c>
      <c r="C23" s="39" t="s">
        <v>127</v>
      </c>
      <c r="D23" s="74"/>
      <c r="E23" s="10"/>
      <c r="F23" s="74"/>
      <c r="G23" s="10"/>
      <c r="H23" s="74"/>
      <c r="I23" s="10"/>
      <c r="J23" s="82"/>
      <c r="K23" s="68"/>
      <c r="L23" s="39" t="s">
        <v>128</v>
      </c>
      <c r="M23" s="40">
        <v>60.0</v>
      </c>
      <c r="N23" s="39" t="s">
        <v>127</v>
      </c>
      <c r="O23" s="10"/>
      <c r="P23" s="10"/>
      <c r="Q23" s="10"/>
      <c r="R23" s="10"/>
      <c r="S23" s="10"/>
      <c r="T23" s="10"/>
      <c r="U23" s="10"/>
    </row>
    <row r="24" ht="15.75" customHeight="1">
      <c r="A24" s="39" t="s">
        <v>129</v>
      </c>
      <c r="B24" s="75" t="str">
        <f>(B22+B23)/60</f>
        <v>2.576032738</v>
      </c>
      <c r="C24" s="39" t="s">
        <v>22</v>
      </c>
      <c r="D24" s="10"/>
      <c r="E24" s="74"/>
      <c r="F24" s="10"/>
      <c r="G24" s="74"/>
      <c r="H24" s="10"/>
      <c r="I24" s="74"/>
      <c r="J24" s="67"/>
      <c r="K24" s="68"/>
      <c r="L24" s="39" t="s">
        <v>129</v>
      </c>
      <c r="M24" s="75" t="str">
        <f>(M22+M23)/60</f>
        <v>2.825369048</v>
      </c>
      <c r="N24" s="39" t="s">
        <v>22</v>
      </c>
      <c r="O24" s="10"/>
      <c r="P24" s="10"/>
      <c r="Q24" s="10"/>
      <c r="R24" s="10"/>
      <c r="S24" s="10"/>
      <c r="T24" s="10"/>
      <c r="U24" s="10"/>
    </row>
    <row r="25" ht="15.75" customHeight="1">
      <c r="A25" s="39" t="s">
        <v>130</v>
      </c>
      <c r="B25" s="40" t="str">
        <f>(B13/70)/60</f>
        <v>1.576032738</v>
      </c>
      <c r="C25" s="39" t="s">
        <v>22</v>
      </c>
      <c r="D25" s="74"/>
      <c r="E25" s="10"/>
      <c r="F25" s="74"/>
      <c r="G25" s="83"/>
      <c r="H25" s="74"/>
      <c r="I25" s="10"/>
      <c r="J25" s="82"/>
      <c r="K25" s="68"/>
      <c r="L25" s="39" t="s">
        <v>130</v>
      </c>
      <c r="M25" s="40" t="str">
        <f>(M13/70)/60</f>
        <v>1.825369048</v>
      </c>
      <c r="N25" s="39" t="s">
        <v>22</v>
      </c>
      <c r="O25" s="10"/>
      <c r="P25" s="10"/>
      <c r="Q25" s="10"/>
      <c r="R25" s="10"/>
      <c r="S25" s="10"/>
      <c r="T25" s="10"/>
      <c r="U25" s="10"/>
    </row>
    <row r="26" ht="15.75" customHeight="1">
      <c r="A26" s="39" t="s">
        <v>131</v>
      </c>
      <c r="B26" s="40">
        <v>0.5</v>
      </c>
      <c r="C26" s="39" t="s">
        <v>22</v>
      </c>
      <c r="D26" s="83"/>
      <c r="E26" s="74"/>
      <c r="F26" s="10"/>
      <c r="G26" s="74"/>
      <c r="H26" s="10"/>
      <c r="I26" s="74"/>
      <c r="J26" s="82"/>
      <c r="K26" s="68"/>
      <c r="L26" s="39" t="s">
        <v>131</v>
      </c>
      <c r="M26" s="40">
        <v>0.5</v>
      </c>
      <c r="N26" s="39" t="s">
        <v>22</v>
      </c>
      <c r="O26" s="10"/>
      <c r="P26" s="10"/>
      <c r="Q26" s="10"/>
      <c r="R26" s="10"/>
      <c r="S26" s="10"/>
      <c r="T26" s="10"/>
      <c r="U26" s="10"/>
    </row>
    <row r="27" ht="15.75" customHeight="1">
      <c r="A27" s="39" t="s">
        <v>132</v>
      </c>
      <c r="B27" s="75" t="str">
        <f>SUM(B24:B26)</f>
        <v>4.652065476</v>
      </c>
      <c r="C27" s="39" t="s">
        <v>22</v>
      </c>
      <c r="D27" s="10"/>
      <c r="E27" s="74"/>
      <c r="F27" s="74"/>
      <c r="G27" s="83"/>
      <c r="H27" s="74"/>
      <c r="I27" s="74"/>
      <c r="J27" s="67"/>
      <c r="K27" s="68"/>
      <c r="L27" s="39" t="s">
        <v>132</v>
      </c>
      <c r="M27" s="75" t="str">
        <f>SUM(M24:M26)</f>
        <v>5.150738095</v>
      </c>
      <c r="N27" s="39" t="s">
        <v>22</v>
      </c>
      <c r="O27" s="10"/>
      <c r="P27" s="10"/>
      <c r="Q27" s="10"/>
      <c r="R27" s="10"/>
      <c r="S27" s="10"/>
      <c r="T27" s="10"/>
      <c r="U27" s="10"/>
    </row>
    <row r="28" ht="15.75" customHeight="1">
      <c r="A28" s="10"/>
      <c r="B28" s="74"/>
      <c r="C28" s="10"/>
      <c r="D28" s="74"/>
      <c r="E28" s="10"/>
      <c r="F28" s="74"/>
      <c r="G28" s="10"/>
      <c r="H28" s="74"/>
      <c r="I28" s="10"/>
      <c r="J28" s="74"/>
      <c r="K28" s="68"/>
      <c r="L28" s="10"/>
      <c r="M28" s="10"/>
      <c r="N28" s="10"/>
      <c r="O28" s="10"/>
      <c r="P28" s="10"/>
      <c r="Q28" s="10"/>
      <c r="R28" s="10"/>
      <c r="S28" s="10"/>
      <c r="T28" s="10"/>
      <c r="U28" s="10"/>
    </row>
    <row r="29" ht="15.75" customHeight="1">
      <c r="A29" s="74"/>
      <c r="B29" s="10"/>
      <c r="C29" s="74"/>
      <c r="D29" s="10"/>
      <c r="E29" s="74"/>
      <c r="F29" s="10"/>
      <c r="G29" s="74"/>
      <c r="H29" s="10"/>
      <c r="I29" s="74"/>
      <c r="J29" s="10"/>
      <c r="K29" s="68"/>
      <c r="L29" s="84"/>
      <c r="M29" s="10"/>
      <c r="N29" s="10"/>
      <c r="O29" s="10"/>
      <c r="P29" s="10"/>
      <c r="Q29" s="10"/>
      <c r="R29" s="10"/>
      <c r="S29" s="10"/>
      <c r="T29" s="10"/>
      <c r="U29" s="10"/>
    </row>
    <row r="30" ht="15.75" customHeight="1">
      <c r="A30" s="85" t="s">
        <v>133</v>
      </c>
      <c r="B30" s="78"/>
      <c r="C30" s="78"/>
      <c r="D30" s="78"/>
      <c r="E30" s="78"/>
      <c r="F30" s="78"/>
      <c r="G30" s="78"/>
      <c r="H30" s="78"/>
      <c r="I30" s="78"/>
      <c r="J30" s="78"/>
      <c r="K30" s="79"/>
      <c r="L30" s="72" t="s">
        <v>134</v>
      </c>
      <c r="M30" s="63"/>
      <c r="N30" s="63"/>
      <c r="O30" s="63"/>
      <c r="P30" s="63"/>
      <c r="Q30" s="63"/>
      <c r="R30" s="63"/>
      <c r="S30" s="63"/>
      <c r="T30" s="63"/>
      <c r="U30" s="66"/>
    </row>
    <row r="31" ht="15.75" customHeight="1">
      <c r="A31" s="86" t="s">
        <v>94</v>
      </c>
      <c r="B31" s="86" t="str">
        <f>B17*JOB_INPUTS!B30</f>
        <v>53782.11719</v>
      </c>
      <c r="C31" s="86" t="s">
        <v>17</v>
      </c>
      <c r="D31" s="10"/>
      <c r="E31" s="10"/>
      <c r="F31" s="10"/>
      <c r="G31" s="10"/>
      <c r="H31" s="10"/>
      <c r="I31" s="10"/>
      <c r="J31" s="67"/>
      <c r="K31" s="68"/>
      <c r="L31" s="87" t="s">
        <v>94</v>
      </c>
      <c r="M31" s="87" t="str">
        <f>M17*JOB_INPUTS!B30</f>
        <v>62290.71875</v>
      </c>
      <c r="N31" s="87" t="s">
        <v>17</v>
      </c>
      <c r="O31" s="10"/>
      <c r="P31" s="10"/>
      <c r="Q31" s="10"/>
      <c r="R31" s="10"/>
      <c r="S31" s="10"/>
      <c r="T31" s="10"/>
      <c r="U31" s="10"/>
    </row>
    <row r="32" ht="15.75" customHeight="1">
      <c r="A32" s="87" t="s">
        <v>135</v>
      </c>
      <c r="B32" s="87" t="str">
        <f>B17*JOB_INPUTS!B33*JOB_INPUTS!B15</f>
        <v>15058.99281</v>
      </c>
      <c r="C32" s="87" t="s">
        <v>17</v>
      </c>
      <c r="D32" s="10"/>
      <c r="E32" s="88" t="s">
        <v>136</v>
      </c>
      <c r="H32" s="10"/>
      <c r="I32" s="10"/>
      <c r="J32" s="67"/>
      <c r="K32" s="68"/>
      <c r="L32" s="87" t="s">
        <v>135</v>
      </c>
      <c r="M32" s="87" t="str">
        <f>M17*JOB_INPUTS!B33*JOB_INPUTS!B15</f>
        <v>17441.40125</v>
      </c>
      <c r="N32" s="87" t="s">
        <v>17</v>
      </c>
      <c r="O32" s="10"/>
      <c r="P32" s="10"/>
      <c r="Q32" s="10"/>
      <c r="R32" s="10"/>
      <c r="S32" s="10"/>
      <c r="T32" s="10"/>
      <c r="U32" s="10"/>
    </row>
    <row r="33" ht="15.75" customHeight="1">
      <c r="A33" s="87" t="s">
        <v>137</v>
      </c>
      <c r="B33" s="87" t="str">
        <f>B27*MACHINE_COST!B39</f>
        <v>18590.01851</v>
      </c>
      <c r="C33" s="87" t="s">
        <v>17</v>
      </c>
      <c r="D33" s="10"/>
      <c r="E33" s="10"/>
      <c r="F33" s="10"/>
      <c r="G33" s="10"/>
      <c r="H33" s="10"/>
      <c r="I33" s="10"/>
      <c r="J33" s="67"/>
      <c r="K33" s="68"/>
      <c r="L33" s="87" t="s">
        <v>137</v>
      </c>
      <c r="M33" s="87" t="str">
        <f>M27*MACHINE_COST!B39</f>
        <v>20582.75341</v>
      </c>
      <c r="N33" s="87" t="s">
        <v>17</v>
      </c>
      <c r="O33" s="10"/>
      <c r="P33" s="10"/>
      <c r="Q33" s="10"/>
      <c r="R33" s="10"/>
      <c r="S33" s="10"/>
      <c r="T33" s="10"/>
      <c r="U33" s="10"/>
    </row>
    <row r="34" ht="15.75" customHeight="1">
      <c r="A34" s="87" t="s">
        <v>96</v>
      </c>
      <c r="B34" s="87" t="str">
        <f>JOB_INPUTS!C31</f>
        <v>38723.12438</v>
      </c>
      <c r="C34" s="87" t="s">
        <v>17</v>
      </c>
      <c r="D34" s="10"/>
      <c r="E34" s="10"/>
      <c r="F34" s="10"/>
      <c r="G34" s="10"/>
      <c r="H34" s="10"/>
      <c r="I34" s="10"/>
      <c r="J34" s="67"/>
      <c r="K34" s="68"/>
      <c r="L34" s="87"/>
      <c r="M34" s="87"/>
      <c r="N34" s="87"/>
      <c r="O34" s="10"/>
      <c r="P34" s="10"/>
      <c r="Q34" s="10"/>
      <c r="R34" s="10"/>
      <c r="S34" s="10"/>
      <c r="T34" s="10"/>
      <c r="U34" s="10"/>
    </row>
    <row r="35" ht="15.75" customHeight="1">
      <c r="A35" s="87" t="s">
        <v>97</v>
      </c>
      <c r="B35" s="87" t="str">
        <f>JOB_INPUTS!C32</f>
        <v>4302.569375</v>
      </c>
      <c r="C35" s="87" t="s">
        <v>17</v>
      </c>
      <c r="D35" s="10"/>
      <c r="E35" s="10"/>
      <c r="F35" s="10"/>
      <c r="G35" s="10"/>
      <c r="H35" s="10"/>
      <c r="I35" s="10"/>
      <c r="J35" s="67"/>
      <c r="K35" s="68"/>
      <c r="L35" s="87"/>
      <c r="M35" s="87"/>
      <c r="N35" s="87"/>
      <c r="O35" s="10"/>
      <c r="P35" s="10"/>
      <c r="Q35" s="10"/>
      <c r="R35" s="10"/>
      <c r="S35" s="10"/>
      <c r="T35" s="10"/>
      <c r="U35" s="10"/>
    </row>
    <row r="36" ht="15.75" customHeight="1">
      <c r="A36" s="87" t="s">
        <v>138</v>
      </c>
      <c r="B36" s="87" t="str">
        <f>(JOB_INPUTS!B6/JOB_INPUTS!B7)*((JOB_INPUTS!B9+80)*JOB_INPUTS!B27)</f>
        <v>2587.5</v>
      </c>
      <c r="C36" s="87" t="s">
        <v>17</v>
      </c>
      <c r="D36" s="10"/>
      <c r="E36" s="10"/>
      <c r="F36" s="10"/>
      <c r="G36" s="10"/>
      <c r="H36" s="10"/>
      <c r="I36" s="10"/>
      <c r="J36" s="67"/>
      <c r="K36" s="68"/>
      <c r="L36" s="87" t="s">
        <v>138</v>
      </c>
      <c r="M36" s="87" t="str">
        <f t="shared" ref="M36:M37" si="4">B36</f>
        <v>2587.5</v>
      </c>
      <c r="N36" s="87" t="s">
        <v>17</v>
      </c>
      <c r="O36" s="10"/>
      <c r="P36" s="10"/>
      <c r="Q36" s="10"/>
      <c r="R36" s="10"/>
      <c r="S36" s="10"/>
      <c r="T36" s="10"/>
      <c r="U36" s="10"/>
    </row>
    <row r="37" ht="15.75" customHeight="1">
      <c r="A37" s="87" t="s">
        <v>139</v>
      </c>
      <c r="B37" s="87" t="str">
        <f>35*(JOB_INPUTS!B6/JOB_INPUTS!B7/5)</f>
        <v>1050</v>
      </c>
      <c r="C37" s="87" t="s">
        <v>17</v>
      </c>
      <c r="D37" s="10"/>
      <c r="E37" s="10"/>
      <c r="F37" s="10"/>
      <c r="G37" s="10"/>
      <c r="H37" s="10"/>
      <c r="I37" s="10"/>
      <c r="J37" s="67"/>
      <c r="K37" s="68"/>
      <c r="L37" s="87" t="s">
        <v>139</v>
      </c>
      <c r="M37" s="87" t="str">
        <f t="shared" si="4"/>
        <v>1050</v>
      </c>
      <c r="N37" s="87" t="s">
        <v>17</v>
      </c>
      <c r="O37" s="10"/>
      <c r="P37" s="10"/>
      <c r="Q37" s="10"/>
      <c r="R37" s="10"/>
      <c r="S37" s="10"/>
      <c r="T37" s="10"/>
      <c r="U37" s="10"/>
    </row>
    <row r="38" ht="15.75" customHeight="1">
      <c r="A38" s="87" t="s">
        <v>140</v>
      </c>
      <c r="B38" s="87" t="str">
        <f>JOB_INPUTS!B19*JOB_INPUTS!B20*JOB_INPUTS!B15*1*0.01</f>
        <v>8451.05625</v>
      </c>
      <c r="C38" s="87" t="s">
        <v>17</v>
      </c>
      <c r="D38" s="10"/>
      <c r="E38" s="10"/>
      <c r="F38" s="10"/>
      <c r="G38" s="10"/>
      <c r="H38" s="10"/>
      <c r="I38" s="10"/>
      <c r="J38" s="67"/>
      <c r="K38" s="68"/>
      <c r="L38" s="87"/>
      <c r="M38" s="87"/>
      <c r="N38" s="87"/>
      <c r="O38" s="10"/>
      <c r="P38" s="10"/>
      <c r="Q38" s="10"/>
      <c r="R38" s="10"/>
      <c r="S38" s="10"/>
      <c r="T38" s="10"/>
      <c r="U38" s="10"/>
    </row>
    <row r="39" ht="15.75" customHeight="1">
      <c r="A39" s="87" t="s">
        <v>141</v>
      </c>
      <c r="B39" s="89" t="str">
        <f>JOB_INPUTS!B34</f>
        <v>  12,000 </v>
      </c>
      <c r="C39" s="87" t="s">
        <v>17</v>
      </c>
      <c r="D39" s="10"/>
      <c r="E39" s="10"/>
      <c r="F39" s="10"/>
      <c r="G39" s="10"/>
      <c r="H39" s="10"/>
      <c r="I39" s="10"/>
      <c r="J39" s="67"/>
      <c r="K39" s="68"/>
      <c r="L39" s="87" t="s">
        <v>141</v>
      </c>
      <c r="M39" s="89" t="str">
        <f>JOB_INPUTS!B34</f>
        <v>  12,000 </v>
      </c>
      <c r="N39" s="87" t="s">
        <v>17</v>
      </c>
      <c r="O39" s="10"/>
      <c r="P39" s="10"/>
      <c r="Q39" s="10"/>
      <c r="R39" s="10"/>
      <c r="S39" s="10"/>
      <c r="T39" s="10"/>
      <c r="U39" s="10"/>
    </row>
    <row r="40" ht="15.75" customHeight="1">
      <c r="A40" s="90" t="s">
        <v>142</v>
      </c>
      <c r="B40" s="91" t="str">
        <f>SUM(B31:B39)</f>
        <v>154545.3785</v>
      </c>
      <c r="C40" s="92" t="s">
        <v>17</v>
      </c>
      <c r="D40" s="10"/>
      <c r="E40" s="10"/>
      <c r="F40" s="10"/>
      <c r="G40" s="10"/>
      <c r="H40" s="10"/>
      <c r="I40" s="10"/>
      <c r="J40" s="67"/>
      <c r="K40" s="93"/>
      <c r="L40" s="94" t="s">
        <v>142</v>
      </c>
      <c r="M40" s="95" t="str">
        <f>SUM(M31:M39)</f>
        <v>115952.3734</v>
      </c>
      <c r="N40" s="96" t="s">
        <v>17</v>
      </c>
      <c r="O40" s="10"/>
      <c r="P40" s="10"/>
      <c r="Q40" s="10"/>
      <c r="R40" s="10"/>
      <c r="S40" s="10"/>
      <c r="T40" s="10"/>
      <c r="U40" s="10"/>
    </row>
    <row r="41" ht="15.75" customHeight="1">
      <c r="A41" s="97" t="s">
        <v>143</v>
      </c>
      <c r="B41" s="98" t="str">
        <f>IFERROR(B40/B4*1000,0)</f>
        <v>515.1512617</v>
      </c>
      <c r="C41" s="99" t="s">
        <v>144</v>
      </c>
      <c r="D41" s="10"/>
      <c r="E41" s="10"/>
      <c r="F41" s="10"/>
      <c r="G41" s="10"/>
      <c r="H41" s="10"/>
      <c r="I41" s="10"/>
      <c r="J41" s="67"/>
      <c r="K41" s="93"/>
      <c r="L41" s="100" t="s">
        <v>143</v>
      </c>
      <c r="M41" s="101" t="str">
        <f>IFERROR(M40/M4*1000,0)</f>
        <v>773.0158227</v>
      </c>
      <c r="N41" s="102" t="s">
        <v>144</v>
      </c>
      <c r="O41" s="10"/>
      <c r="P41" s="10"/>
      <c r="Q41" s="10"/>
      <c r="R41" s="10"/>
      <c r="S41" s="10"/>
      <c r="T41" s="10"/>
      <c r="U41" s="10"/>
    </row>
    <row r="42" ht="15.75" customHeight="1">
      <c r="A42" s="97" t="s">
        <v>145</v>
      </c>
      <c r="B42" s="103" t="str">
        <f>IFERROR(B40/B4,0)</f>
        <v>0.5151512617</v>
      </c>
      <c r="C42" s="104" t="s">
        <v>17</v>
      </c>
      <c r="D42" s="10"/>
      <c r="E42" s="10"/>
      <c r="F42" s="10"/>
      <c r="G42" s="10"/>
      <c r="H42" s="10"/>
      <c r="I42" s="10"/>
      <c r="J42" s="67"/>
      <c r="K42" s="93"/>
      <c r="L42" s="105" t="s">
        <v>145</v>
      </c>
      <c r="M42" s="106" t="str">
        <f>IFERROR(M40/M4,0)</f>
        <v>0.7730158227</v>
      </c>
      <c r="N42" s="107" t="s">
        <v>17</v>
      </c>
      <c r="O42" s="10"/>
      <c r="P42" s="10"/>
      <c r="Q42" s="10"/>
      <c r="R42" s="10"/>
      <c r="S42" s="10"/>
      <c r="T42" s="10"/>
      <c r="U42" s="10"/>
    </row>
    <row r="43" ht="15.75" customHeight="1">
      <c r="A43" s="108" t="s">
        <v>146</v>
      </c>
      <c r="B43" s="109" t="str">
        <f>IFERROR(B40/(1-JOB_INPUTS!B35/100),0)</f>
        <v>309090.757</v>
      </c>
      <c r="C43" s="110" t="s">
        <v>17</v>
      </c>
      <c r="D43" s="10"/>
      <c r="E43" s="10"/>
      <c r="F43" s="10"/>
      <c r="G43" s="10"/>
      <c r="H43" s="10"/>
      <c r="I43" s="10"/>
      <c r="J43" s="67"/>
      <c r="K43" s="93"/>
      <c r="L43" s="111" t="s">
        <v>146</v>
      </c>
      <c r="M43" s="112" t="str">
        <f>IFERROR(M40/(1-JOB_INPUTS!B35/100),0)</f>
        <v>231904.7468</v>
      </c>
      <c r="N43" s="113" t="s">
        <v>17</v>
      </c>
      <c r="O43" s="10"/>
      <c r="P43" s="10"/>
      <c r="Q43" s="10"/>
      <c r="R43" s="10"/>
      <c r="S43" s="10"/>
      <c r="T43" s="10"/>
      <c r="U43" s="10"/>
    </row>
    <row r="44" ht="15.75" customHeight="1">
      <c r="A44" s="108" t="s">
        <v>147</v>
      </c>
      <c r="B44" s="114" t="str">
        <f>IFERROR(B43/B4*1000,0)</f>
        <v>1030.302523</v>
      </c>
      <c r="C44" s="110" t="s">
        <v>144</v>
      </c>
      <c r="D44" s="10"/>
      <c r="E44" s="10"/>
      <c r="F44" s="10"/>
      <c r="G44" s="10"/>
      <c r="H44" s="10"/>
      <c r="I44" s="10"/>
      <c r="J44" s="67"/>
      <c r="K44" s="93"/>
      <c r="L44" s="100" t="s">
        <v>147</v>
      </c>
      <c r="M44" s="101" t="str">
        <f>IFERROR(M43/M4*1000,0)</f>
        <v>1546.031645</v>
      </c>
      <c r="N44" s="102" t="s">
        <v>144</v>
      </c>
      <c r="O44" s="10"/>
      <c r="P44" s="10"/>
      <c r="Q44" s="10"/>
      <c r="R44" s="10"/>
      <c r="S44" s="10"/>
      <c r="T44" s="10"/>
      <c r="U44" s="10"/>
    </row>
    <row r="45" ht="15.75" customHeight="1">
      <c r="A45" s="108" t="s">
        <v>148</v>
      </c>
      <c r="B45" s="109" t="str">
        <f>IFERROR(B43/B4,0)</f>
        <v>1.030302523</v>
      </c>
      <c r="C45" s="110" t="s">
        <v>17</v>
      </c>
      <c r="D45" s="10"/>
      <c r="E45" s="10"/>
      <c r="F45" s="10"/>
      <c r="G45" s="10"/>
      <c r="H45" s="10"/>
      <c r="I45" s="10"/>
      <c r="J45" s="67"/>
      <c r="K45" s="93"/>
      <c r="L45" s="111" t="s">
        <v>148</v>
      </c>
      <c r="M45" s="112" t="str">
        <f>IFERROR(M43/M4,0)</f>
        <v>1.546031645</v>
      </c>
      <c r="N45" s="113" t="s">
        <v>17</v>
      </c>
      <c r="O45" s="10"/>
      <c r="P45" s="10"/>
      <c r="Q45" s="10"/>
      <c r="R45" s="10"/>
      <c r="S45" s="10"/>
      <c r="T45" s="10"/>
      <c r="U45" s="10"/>
    </row>
    <row r="46" ht="15.75" customHeight="1">
      <c r="A46" s="115" t="s">
        <v>149</v>
      </c>
      <c r="B46" s="116" t="str">
        <f>B43-B40</f>
        <v>154545.3785</v>
      </c>
      <c r="C46" s="117" t="s">
        <v>17</v>
      </c>
      <c r="D46" s="10"/>
      <c r="E46" s="10"/>
      <c r="F46" s="10"/>
      <c r="G46" s="10"/>
      <c r="H46" s="10"/>
      <c r="I46" s="10"/>
      <c r="J46" s="67"/>
      <c r="K46" s="118"/>
      <c r="L46" s="119" t="s">
        <v>149</v>
      </c>
      <c r="M46" s="120" t="str">
        <f>M43-M40</f>
        <v>115952.3734</v>
      </c>
      <c r="N46" s="121" t="s">
        <v>17</v>
      </c>
      <c r="O46" s="10"/>
      <c r="P46" s="10"/>
      <c r="Q46" s="10"/>
      <c r="R46" s="10"/>
      <c r="S46" s="10"/>
      <c r="T46" s="10"/>
      <c r="U46" s="10"/>
    </row>
    <row r="47" ht="15.75" customHeight="1">
      <c r="A47" s="10"/>
      <c r="B47" s="10"/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</row>
    <row r="48" ht="15.75" customHeight="1">
      <c r="A48" s="10"/>
      <c r="B48" s="10"/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</row>
    <row r="49" ht="15.75" customHeight="1">
      <c r="A49" s="10"/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</row>
    <row r="50" ht="15.75" customHeight="1">
      <c r="A50" s="10"/>
      <c r="B50" s="10"/>
      <c r="C50" s="10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</row>
    <row r="51" ht="15.75" customHeight="1">
      <c r="A51" s="10"/>
      <c r="B51" s="10"/>
      <c r="C51" s="10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</row>
    <row r="52" ht="15.75" customHeight="1">
      <c r="A52" s="10"/>
      <c r="B52" s="10"/>
      <c r="C52" s="10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</row>
    <row r="53" ht="15.75" customHeight="1">
      <c r="A53" s="10"/>
      <c r="B53" s="10"/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</row>
    <row r="54" ht="15.75" customHeight="1">
      <c r="A54" s="10"/>
      <c r="B54" s="10"/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</row>
    <row r="55" ht="15.75" customHeight="1">
      <c r="A55" s="10"/>
      <c r="B55" s="10"/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</row>
    <row r="56" ht="15.75" customHeight="1">
      <c r="A56" s="10"/>
      <c r="B56" s="10"/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</row>
    <row r="57" ht="15.75" customHeight="1">
      <c r="A57" s="10"/>
      <c r="B57" s="10"/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</row>
    <row r="58" ht="15.75" customHeight="1">
      <c r="A58" s="10"/>
      <c r="B58" s="10"/>
      <c r="C58" s="10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</row>
    <row r="59" ht="15.75" customHeight="1">
      <c r="A59" s="10"/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</row>
    <row r="60" ht="15.75" customHeight="1">
      <c r="A60" s="10"/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</row>
    <row r="61" ht="15.75" customHeight="1">
      <c r="A61" s="10"/>
      <c r="B61" s="10"/>
      <c r="C61" s="10"/>
      <c r="D61" s="10"/>
      <c r="E61" s="10"/>
      <c r="F61" s="10"/>
      <c r="G61" s="10"/>
      <c r="H61" s="10"/>
      <c r="I61" s="10"/>
      <c r="J61" s="122">
        <v>100000.0</v>
      </c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</row>
    <row r="62" ht="15.75" customHeight="1">
      <c r="A62" s="10"/>
      <c r="B62" s="10"/>
      <c r="C62" s="10"/>
      <c r="D62" s="10"/>
      <c r="E62" s="10"/>
      <c r="F62" s="10"/>
      <c r="G62" s="10"/>
      <c r="H62" s="10"/>
      <c r="I62" s="10"/>
      <c r="J62" s="10" t="s">
        <v>142</v>
      </c>
      <c r="K62" s="10">
        <v>125748.65638344227</v>
      </c>
      <c r="L62" s="10" t="s">
        <v>17</v>
      </c>
      <c r="M62" s="10"/>
      <c r="N62" s="10"/>
      <c r="O62" s="10"/>
      <c r="P62" s="10"/>
      <c r="Q62" s="10"/>
      <c r="R62" s="10"/>
      <c r="S62" s="10"/>
      <c r="T62" s="10"/>
      <c r="U62" s="10"/>
    </row>
    <row r="63" ht="15.75" customHeight="1">
      <c r="A63" s="10"/>
      <c r="B63" s="10"/>
      <c r="C63" s="10"/>
      <c r="D63" s="10"/>
      <c r="E63" s="10"/>
      <c r="F63" s="10"/>
      <c r="G63" s="10"/>
      <c r="H63" s="10"/>
      <c r="I63" s="10"/>
      <c r="J63" s="10" t="s">
        <v>143</v>
      </c>
      <c r="K63" s="10">
        <v>1257.486563834423</v>
      </c>
      <c r="L63" s="10" t="s">
        <v>144</v>
      </c>
      <c r="M63" s="10"/>
      <c r="N63" s="10"/>
      <c r="O63" s="10"/>
      <c r="P63" s="10"/>
      <c r="Q63" s="10"/>
      <c r="R63" s="10"/>
      <c r="S63" s="10"/>
      <c r="T63" s="10"/>
      <c r="U63" s="10"/>
    </row>
    <row r="64" ht="15.75" customHeight="1">
      <c r="A64" s="10"/>
      <c r="B64" s="10"/>
      <c r="C64" s="10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</row>
    <row r="65" ht="15.75" customHeight="1">
      <c r="A65" s="10"/>
      <c r="B65" s="10"/>
      <c r="C65" s="10"/>
      <c r="D65" s="10"/>
      <c r="E65" s="10"/>
      <c r="F65" s="10"/>
      <c r="G65" s="10"/>
      <c r="H65" s="10"/>
      <c r="I65" s="10"/>
      <c r="J65" s="10" t="s">
        <v>145</v>
      </c>
      <c r="K65" s="10">
        <v>1.2574865638344228</v>
      </c>
      <c r="L65" s="10" t="s">
        <v>17</v>
      </c>
      <c r="M65" s="10"/>
      <c r="N65" s="10"/>
      <c r="O65" s="10"/>
      <c r="P65" s="10"/>
      <c r="Q65" s="10"/>
      <c r="R65" s="10"/>
      <c r="S65" s="10"/>
      <c r="T65" s="10"/>
      <c r="U65" s="10"/>
    </row>
    <row r="66" ht="15.75" customHeight="1">
      <c r="A66" s="10"/>
      <c r="B66" s="10"/>
      <c r="C66" s="10"/>
      <c r="D66" s="10"/>
      <c r="E66" s="10"/>
      <c r="F66" s="10"/>
      <c r="G66" s="10"/>
      <c r="H66" s="10"/>
      <c r="I66" s="10"/>
      <c r="J66" s="122">
        <v>200000.0</v>
      </c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</row>
    <row r="67" ht="15.75" customHeight="1">
      <c r="A67" s="10"/>
      <c r="B67" s="10"/>
      <c r="C67" s="10"/>
      <c r="D67" s="10"/>
      <c r="E67" s="10"/>
      <c r="F67" s="10"/>
      <c r="G67" s="10"/>
      <c r="H67" s="10"/>
      <c r="I67" s="10"/>
      <c r="J67" s="10" t="s">
        <v>142</v>
      </c>
      <c r="K67" s="10">
        <v>219706.37943355116</v>
      </c>
      <c r="L67" s="10" t="s">
        <v>17</v>
      </c>
      <c r="M67" s="10"/>
      <c r="N67" s="10"/>
      <c r="O67" s="10"/>
      <c r="P67" s="10"/>
      <c r="Q67" s="10"/>
      <c r="R67" s="10"/>
      <c r="S67" s="10"/>
      <c r="T67" s="10"/>
      <c r="U67" s="10"/>
    </row>
    <row r="68" ht="15.75" customHeight="1">
      <c r="A68" s="10"/>
      <c r="B68" s="10"/>
      <c r="C68" s="10"/>
      <c r="D68" s="10"/>
      <c r="E68" s="10"/>
      <c r="F68" s="10"/>
      <c r="G68" s="10"/>
      <c r="H68" s="10"/>
      <c r="I68" s="10"/>
      <c r="J68" s="10" t="s">
        <v>143</v>
      </c>
      <c r="K68" s="10">
        <v>1098.5318971677557</v>
      </c>
      <c r="L68" s="10" t="s">
        <v>144</v>
      </c>
      <c r="M68" s="10"/>
      <c r="N68" s="10"/>
      <c r="O68" s="10"/>
      <c r="P68" s="10"/>
      <c r="Q68" s="10"/>
      <c r="R68" s="10"/>
      <c r="S68" s="10"/>
      <c r="T68" s="10"/>
      <c r="U68" s="10"/>
    </row>
    <row r="69" ht="15.75" customHeight="1">
      <c r="A69" s="10"/>
      <c r="B69" s="10"/>
      <c r="C69" s="10"/>
      <c r="D69" s="10"/>
      <c r="E69" s="10"/>
      <c r="F69" s="10"/>
      <c r="G69" s="10"/>
      <c r="H69" s="10"/>
      <c r="I69" s="10"/>
      <c r="J69" s="10" t="s">
        <v>145</v>
      </c>
      <c r="K69" s="10">
        <v>1.0985318971677558</v>
      </c>
      <c r="L69" s="10" t="s">
        <v>17</v>
      </c>
      <c r="M69" s="10"/>
      <c r="N69" s="10"/>
      <c r="O69" s="10"/>
      <c r="P69" s="10"/>
      <c r="Q69" s="10"/>
      <c r="R69" s="10"/>
      <c r="S69" s="10"/>
      <c r="T69" s="10"/>
      <c r="U69" s="10"/>
    </row>
    <row r="70" ht="15.75" customHeight="1">
      <c r="A70" s="10"/>
      <c r="B70" s="10"/>
      <c r="C70" s="10"/>
      <c r="D70" s="10"/>
      <c r="E70" s="10"/>
      <c r="F70" s="10"/>
      <c r="G70" s="10"/>
      <c r="H70" s="10"/>
      <c r="I70" s="10"/>
      <c r="J70" s="122">
        <v>300000.0</v>
      </c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</row>
    <row r="71" ht="15.75" customHeight="1">
      <c r="A71" s="10"/>
      <c r="B71" s="10"/>
      <c r="C71" s="10"/>
      <c r="D71" s="10"/>
      <c r="E71" s="10"/>
      <c r="F71" s="10"/>
      <c r="G71" s="10"/>
      <c r="H71" s="10"/>
      <c r="I71" s="10"/>
      <c r="J71" s="10" t="s">
        <v>142</v>
      </c>
      <c r="K71" s="10">
        <v>313664.10248366016</v>
      </c>
      <c r="L71" s="10" t="s">
        <v>17</v>
      </c>
      <c r="M71" s="10"/>
      <c r="N71" s="10"/>
      <c r="O71" s="10"/>
      <c r="P71" s="10"/>
      <c r="Q71" s="10"/>
      <c r="R71" s="10"/>
      <c r="S71" s="10"/>
      <c r="T71" s="10"/>
      <c r="U71" s="10"/>
    </row>
    <row r="72" ht="15.75" customHeight="1">
      <c r="A72" s="10"/>
      <c r="B72" s="10"/>
      <c r="C72" s="10"/>
      <c r="D72" s="10"/>
      <c r="E72" s="10"/>
      <c r="F72" s="10"/>
      <c r="G72" s="10"/>
      <c r="H72" s="10"/>
      <c r="I72" s="10"/>
      <c r="J72" s="10" t="s">
        <v>143</v>
      </c>
      <c r="K72" s="10">
        <v>1045.5470082788672</v>
      </c>
      <c r="L72" s="10" t="s">
        <v>144</v>
      </c>
      <c r="M72" s="10"/>
      <c r="N72" s="10"/>
      <c r="O72" s="10"/>
      <c r="P72" s="10"/>
      <c r="Q72" s="10"/>
      <c r="R72" s="10"/>
      <c r="S72" s="10"/>
      <c r="T72" s="10"/>
      <c r="U72" s="10"/>
    </row>
    <row r="73" ht="15.75" customHeight="1">
      <c r="A73" s="10"/>
      <c r="B73" s="10"/>
      <c r="C73" s="10"/>
      <c r="D73" s="10"/>
      <c r="E73" s="10"/>
      <c r="F73" s="10"/>
      <c r="G73" s="10"/>
      <c r="H73" s="10"/>
      <c r="I73" s="10"/>
      <c r="J73" s="10" t="s">
        <v>145</v>
      </c>
      <c r="K73" s="10">
        <v>1.0455470082788672</v>
      </c>
      <c r="L73" s="10" t="s">
        <v>17</v>
      </c>
      <c r="M73" s="10"/>
      <c r="N73" s="10"/>
      <c r="O73" s="10"/>
      <c r="P73" s="10"/>
      <c r="Q73" s="10"/>
      <c r="R73" s="10"/>
      <c r="S73" s="10"/>
      <c r="T73" s="10"/>
      <c r="U73" s="10"/>
    </row>
    <row r="74" ht="15.75" customHeight="1">
      <c r="A74" s="10"/>
      <c r="B74" s="10"/>
      <c r="C74" s="10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</row>
    <row r="75" ht="15.75" customHeight="1">
      <c r="A75" s="10"/>
      <c r="B75" s="10"/>
      <c r="C75" s="10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</row>
    <row r="76" ht="15.75" customHeight="1">
      <c r="A76" s="10"/>
      <c r="B76" s="10"/>
      <c r="C76" s="10"/>
      <c r="D76" s="10"/>
      <c r="E76" s="10"/>
      <c r="F76" s="10"/>
      <c r="G76" s="10"/>
      <c r="H76" s="10"/>
      <c r="I76" s="10"/>
      <c r="J76" s="88" t="s">
        <v>150</v>
      </c>
      <c r="M76" s="10"/>
      <c r="N76" s="10"/>
      <c r="O76" s="10"/>
      <c r="P76" s="10"/>
      <c r="Q76" s="10"/>
      <c r="R76" s="10"/>
      <c r="S76" s="10"/>
      <c r="T76" s="10"/>
      <c r="U76" s="10"/>
    </row>
    <row r="77" ht="15.75" customHeight="1">
      <c r="A77" s="10"/>
      <c r="B77" s="10"/>
      <c r="C77" s="10"/>
      <c r="D77" s="10"/>
      <c r="E77" s="10"/>
      <c r="F77" s="10"/>
      <c r="G77" s="10"/>
      <c r="H77" s="10"/>
      <c r="I77" s="10"/>
      <c r="J77" s="122">
        <v>300000.0</v>
      </c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</row>
    <row r="78" ht="15.75" customHeight="1">
      <c r="A78" s="10"/>
      <c r="B78" s="10"/>
      <c r="C78" s="10"/>
      <c r="D78" s="10"/>
      <c r="E78" s="10"/>
      <c r="F78" s="10"/>
      <c r="G78" s="10"/>
      <c r="H78" s="10"/>
      <c r="I78" s="10"/>
      <c r="J78" s="10" t="s">
        <v>142</v>
      </c>
      <c r="K78" s="10">
        <v>154545.3785107376</v>
      </c>
      <c r="L78" s="10" t="s">
        <v>17</v>
      </c>
      <c r="M78" s="10"/>
      <c r="N78" s="10"/>
      <c r="O78" s="10"/>
      <c r="P78" s="10"/>
      <c r="Q78" s="10"/>
      <c r="R78" s="10"/>
      <c r="S78" s="10"/>
      <c r="T78" s="10"/>
      <c r="U78" s="10"/>
    </row>
    <row r="79" ht="15.75" customHeight="1">
      <c r="A79" s="10"/>
      <c r="B79" s="10"/>
      <c r="C79" s="10"/>
      <c r="D79" s="10"/>
      <c r="E79" s="10"/>
      <c r="F79" s="10"/>
      <c r="G79" s="10"/>
      <c r="H79" s="10"/>
      <c r="I79" s="10"/>
      <c r="J79" s="10" t="s">
        <v>143</v>
      </c>
      <c r="K79" s="10">
        <v>515.1512617024587</v>
      </c>
      <c r="L79" s="10" t="s">
        <v>144</v>
      </c>
      <c r="M79" s="10"/>
      <c r="N79" s="10"/>
      <c r="O79" s="10"/>
      <c r="P79" s="10"/>
      <c r="Q79" s="10"/>
      <c r="R79" s="10"/>
      <c r="S79" s="10"/>
      <c r="T79" s="10"/>
      <c r="U79" s="10"/>
    </row>
    <row r="80" ht="15.75" customHeight="1">
      <c r="A80" s="10"/>
      <c r="B80" s="10"/>
      <c r="C80" s="10"/>
      <c r="D80" s="10"/>
      <c r="E80" s="10"/>
      <c r="F80" s="10"/>
      <c r="G80" s="10"/>
      <c r="H80" s="10"/>
      <c r="I80" s="10"/>
      <c r="J80" s="10" t="s">
        <v>145</v>
      </c>
      <c r="K80" s="10">
        <v>0.5151512617024586</v>
      </c>
      <c r="L80" s="10" t="s">
        <v>17</v>
      </c>
      <c r="M80" s="10"/>
      <c r="N80" s="10"/>
      <c r="O80" s="10"/>
      <c r="P80" s="10"/>
      <c r="Q80" s="10"/>
      <c r="R80" s="10"/>
      <c r="S80" s="10"/>
      <c r="T80" s="10"/>
      <c r="U80" s="10"/>
    </row>
    <row r="81" ht="15.75" customHeight="1">
      <c r="A81" s="10"/>
      <c r="B81" s="10"/>
      <c r="C81" s="10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</row>
    <row r="82" ht="15.75" customHeight="1">
      <c r="A82" s="10"/>
      <c r="B82" s="10"/>
      <c r="C82" s="10"/>
      <c r="D82" s="10"/>
      <c r="E82" s="10"/>
      <c r="F82" s="10"/>
      <c r="G82" s="10"/>
      <c r="H82" s="10"/>
      <c r="I82" s="10"/>
      <c r="J82" s="122">
        <v>200000.0</v>
      </c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</row>
    <row r="83" ht="15.75" customHeight="1">
      <c r="A83" s="10"/>
      <c r="B83" s="10"/>
      <c r="C83" s="10"/>
      <c r="D83" s="10"/>
      <c r="E83" s="10"/>
      <c r="F83" s="10"/>
      <c r="G83" s="10"/>
      <c r="H83" s="10"/>
      <c r="I83" s="10"/>
      <c r="J83" s="10" t="s">
        <v>142</v>
      </c>
      <c r="K83" s="10">
        <v>114916.44973972924</v>
      </c>
      <c r="L83" s="10" t="s">
        <v>17</v>
      </c>
      <c r="M83" s="10"/>
      <c r="N83" s="10"/>
      <c r="O83" s="10"/>
      <c r="P83" s="10"/>
      <c r="Q83" s="10"/>
      <c r="R83" s="10"/>
      <c r="S83" s="10"/>
      <c r="T83" s="10"/>
      <c r="U83" s="10"/>
    </row>
    <row r="84" ht="15.75" customHeight="1">
      <c r="A84" s="10"/>
      <c r="B84" s="10"/>
      <c r="C84" s="10"/>
      <c r="D84" s="10"/>
      <c r="E84" s="10"/>
      <c r="F84" s="10"/>
      <c r="G84" s="10"/>
      <c r="H84" s="10"/>
      <c r="I84" s="10"/>
      <c r="J84" s="10" t="s">
        <v>143</v>
      </c>
      <c r="K84" s="10">
        <v>574.5822486986463</v>
      </c>
      <c r="L84" s="10" t="s">
        <v>144</v>
      </c>
      <c r="M84" s="10"/>
      <c r="N84" s="10"/>
      <c r="O84" s="10"/>
      <c r="P84" s="10"/>
      <c r="Q84" s="10"/>
      <c r="R84" s="10"/>
      <c r="S84" s="10"/>
      <c r="T84" s="10"/>
      <c r="U84" s="10"/>
    </row>
    <row r="85" ht="15.75" customHeight="1">
      <c r="A85" s="10"/>
      <c r="B85" s="10"/>
      <c r="C85" s="10"/>
      <c r="D85" s="10"/>
      <c r="E85" s="10"/>
      <c r="F85" s="10"/>
      <c r="G85" s="10"/>
      <c r="H85" s="10"/>
      <c r="I85" s="10"/>
      <c r="J85" s="10" t="s">
        <v>145</v>
      </c>
      <c r="K85" s="10">
        <v>0.5745822486986463</v>
      </c>
      <c r="L85" s="10" t="s">
        <v>17</v>
      </c>
      <c r="M85" s="10"/>
      <c r="N85" s="10"/>
      <c r="O85" s="10"/>
      <c r="P85" s="10"/>
      <c r="Q85" s="10"/>
      <c r="R85" s="10"/>
      <c r="S85" s="10"/>
      <c r="T85" s="10"/>
      <c r="U85" s="10"/>
    </row>
    <row r="86" ht="15.75" customHeight="1">
      <c r="A86" s="10"/>
      <c r="B86" s="10"/>
      <c r="C86" s="10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</row>
    <row r="87" ht="15.75" customHeight="1">
      <c r="A87" s="10"/>
      <c r="B87" s="10"/>
      <c r="C87" s="10"/>
      <c r="D87" s="10"/>
      <c r="E87" s="10"/>
      <c r="F87" s="10"/>
      <c r="G87" s="10"/>
      <c r="H87" s="10"/>
      <c r="I87" s="10"/>
      <c r="J87" s="122">
        <v>100000.0</v>
      </c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</row>
    <row r="88" ht="15.75" customHeight="1">
      <c r="A88" s="10"/>
      <c r="B88" s="10"/>
      <c r="C88" s="10"/>
      <c r="D88" s="10"/>
      <c r="E88" s="10"/>
      <c r="F88" s="10"/>
      <c r="G88" s="10"/>
      <c r="H88" s="10"/>
      <c r="I88" s="10"/>
      <c r="J88" s="10" t="s">
        <v>142</v>
      </c>
      <c r="K88" s="10">
        <v>75287.52096872084</v>
      </c>
      <c r="L88" s="10" t="s">
        <v>17</v>
      </c>
      <c r="M88" s="10"/>
      <c r="N88" s="10"/>
      <c r="O88" s="10"/>
      <c r="P88" s="10"/>
      <c r="Q88" s="10"/>
      <c r="R88" s="10"/>
      <c r="S88" s="10"/>
      <c r="T88" s="10"/>
      <c r="U88" s="10"/>
    </row>
    <row r="89" ht="15.75" customHeight="1">
      <c r="A89" s="10"/>
      <c r="B89" s="10"/>
      <c r="C89" s="10"/>
      <c r="D89" s="10"/>
      <c r="E89" s="10"/>
      <c r="F89" s="10"/>
      <c r="G89" s="10"/>
      <c r="H89" s="10"/>
      <c r="I89" s="10"/>
      <c r="J89" s="10" t="s">
        <v>143</v>
      </c>
      <c r="K89" s="10">
        <v>752.8752096872084</v>
      </c>
      <c r="L89" s="10" t="s">
        <v>144</v>
      </c>
      <c r="M89" s="10"/>
      <c r="N89" s="10"/>
      <c r="O89" s="10"/>
      <c r="P89" s="10"/>
      <c r="Q89" s="10"/>
      <c r="R89" s="10"/>
      <c r="S89" s="10"/>
      <c r="T89" s="10"/>
      <c r="U89" s="10"/>
    </row>
    <row r="90" ht="15.75" customHeight="1">
      <c r="A90" s="10"/>
      <c r="B90" s="10"/>
      <c r="C90" s="10"/>
      <c r="D90" s="10"/>
      <c r="E90" s="10"/>
      <c r="F90" s="10"/>
      <c r="G90" s="10"/>
      <c r="H90" s="10"/>
      <c r="I90" s="10"/>
      <c r="J90" s="10" t="s">
        <v>145</v>
      </c>
      <c r="K90" s="10">
        <v>0.7528752096872084</v>
      </c>
      <c r="L90" s="10" t="s">
        <v>17</v>
      </c>
      <c r="M90" s="10"/>
      <c r="N90" s="10"/>
      <c r="O90" s="10"/>
      <c r="P90" s="10"/>
      <c r="Q90" s="10"/>
      <c r="R90" s="10"/>
      <c r="S90" s="10"/>
      <c r="T90" s="10"/>
      <c r="U90" s="10"/>
    </row>
    <row r="91" ht="15.75" customHeight="1">
      <c r="A91" s="10"/>
      <c r="B91" s="10"/>
      <c r="C91" s="10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</row>
    <row r="92" ht="15.75" customHeight="1">
      <c r="A92" s="10"/>
      <c r="B92" s="10"/>
      <c r="C92" s="10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</row>
    <row r="93" ht="15.75" customHeight="1">
      <c r="A93" s="10"/>
      <c r="B93" s="10"/>
      <c r="C93" s="10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</row>
    <row r="94" ht="15.75" customHeight="1">
      <c r="A94" s="10"/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</row>
    <row r="95" ht="15.75" customHeight="1">
      <c r="A95" s="10"/>
      <c r="B95" s="10"/>
      <c r="C95" s="10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</row>
    <row r="96" ht="15.75" customHeight="1">
      <c r="A96" s="10"/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</row>
    <row r="97" ht="15.75" customHeight="1">
      <c r="A97" s="10"/>
      <c r="B97" s="10"/>
      <c r="C97" s="10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</row>
    <row r="98" ht="15.75" customHeight="1">
      <c r="A98" s="10"/>
      <c r="B98" s="10"/>
      <c r="C98" s="10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</row>
    <row r="99" ht="15.75" customHeight="1">
      <c r="A99" s="10"/>
      <c r="B99" s="10"/>
      <c r="C99" s="10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</row>
    <row r="100" ht="15.75" customHeight="1">
      <c r="A100" s="10"/>
      <c r="B100" s="10"/>
      <c r="C100" s="10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</row>
  </sheetData>
  <mergeCells count="10">
    <mergeCell ref="A30:K30"/>
    <mergeCell ref="L30:U30"/>
    <mergeCell ref="E32:G32"/>
    <mergeCell ref="J76:L76"/>
    <mergeCell ref="A1:K1"/>
    <mergeCell ref="A21:K21"/>
    <mergeCell ref="A3:K3"/>
    <mergeCell ref="L3:U3"/>
    <mergeCell ref="L21:U21"/>
    <mergeCell ref="L1:U1"/>
  </mergeCells>
  <printOptions/>
  <pageMargins bottom="1.0" footer="0.0" header="0.0" left="0.75" right="0.75" top="1.0"/>
  <pageSetup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0"/>
    <col customWidth="1" min="2" max="2" width="28.0"/>
    <col customWidth="1" min="3" max="8" width="18.0"/>
    <col customWidth="1" min="9" max="11" width="8.71"/>
  </cols>
  <sheetData>
    <row r="1" ht="25.5" customHeight="1">
      <c r="A1" s="1" t="s">
        <v>151</v>
      </c>
      <c r="B1" s="2"/>
      <c r="C1" s="2"/>
      <c r="D1" s="2"/>
      <c r="E1" s="2"/>
      <c r="F1" s="2"/>
      <c r="G1" s="2"/>
      <c r="H1" s="3"/>
    </row>
    <row r="3">
      <c r="A3" s="4" t="s">
        <v>152</v>
      </c>
      <c r="B3" s="2"/>
      <c r="C3" s="2"/>
      <c r="D3" s="2"/>
      <c r="E3" s="2"/>
      <c r="F3" s="2"/>
      <c r="G3" s="2"/>
      <c r="H3" s="3"/>
    </row>
    <row r="4">
      <c r="A4" s="123" t="s">
        <v>153</v>
      </c>
      <c r="B4" s="6" t="s">
        <v>154</v>
      </c>
      <c r="C4" s="2"/>
      <c r="D4" s="2"/>
      <c r="E4" s="2"/>
      <c r="F4" s="2"/>
      <c r="G4" s="2"/>
      <c r="H4" s="3"/>
    </row>
    <row r="5">
      <c r="A5" s="123" t="s">
        <v>155</v>
      </c>
      <c r="B5" s="6" t="s">
        <v>156</v>
      </c>
      <c r="C5" s="2"/>
      <c r="D5" s="2"/>
      <c r="E5" s="2"/>
      <c r="F5" s="2"/>
      <c r="G5" s="2"/>
      <c r="H5" s="3"/>
    </row>
    <row r="6">
      <c r="A6" s="123" t="s">
        <v>157</v>
      </c>
      <c r="B6" s="6" t="s">
        <v>158</v>
      </c>
      <c r="C6" s="2"/>
      <c r="D6" s="2"/>
      <c r="E6" s="2"/>
      <c r="F6" s="2"/>
      <c r="G6" s="2"/>
      <c r="H6" s="3"/>
    </row>
    <row r="7">
      <c r="A7" s="123" t="s">
        <v>159</v>
      </c>
      <c r="B7" s="6" t="s">
        <v>160</v>
      </c>
      <c r="C7" s="2"/>
      <c r="D7" s="2"/>
      <c r="E7" s="2"/>
      <c r="F7" s="2"/>
      <c r="G7" s="2"/>
      <c r="H7" s="3"/>
    </row>
    <row r="8">
      <c r="A8" s="123" t="s">
        <v>161</v>
      </c>
      <c r="B8" s="6" t="s">
        <v>162</v>
      </c>
      <c r="C8" s="2"/>
      <c r="D8" s="2"/>
      <c r="E8" s="2"/>
      <c r="F8" s="2"/>
      <c r="G8" s="2"/>
      <c r="H8" s="3"/>
    </row>
    <row r="9">
      <c r="A9" s="123" t="s">
        <v>163</v>
      </c>
      <c r="B9" s="6" t="s">
        <v>164</v>
      </c>
      <c r="C9" s="2"/>
      <c r="D9" s="2"/>
      <c r="E9" s="2"/>
      <c r="F9" s="2"/>
      <c r="G9" s="2"/>
      <c r="H9" s="3"/>
    </row>
    <row r="10">
      <c r="A10" s="123" t="s">
        <v>165</v>
      </c>
      <c r="B10" s="6" t="s">
        <v>166</v>
      </c>
      <c r="C10" s="2"/>
      <c r="D10" s="2"/>
      <c r="E10" s="2"/>
      <c r="F10" s="2"/>
      <c r="G10" s="2"/>
      <c r="H10" s="3"/>
    </row>
    <row r="11">
      <c r="A11" s="123" t="s">
        <v>167</v>
      </c>
      <c r="B11" s="6" t="s">
        <v>168</v>
      </c>
      <c r="C11" s="2"/>
      <c r="D11" s="2"/>
      <c r="E11" s="2"/>
      <c r="F11" s="2"/>
      <c r="G11" s="2"/>
      <c r="H11" s="3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0">
    <mergeCell ref="B5:H5"/>
    <mergeCell ref="B6:H6"/>
    <mergeCell ref="A1:H1"/>
    <mergeCell ref="B10:H10"/>
    <mergeCell ref="B11:H11"/>
    <mergeCell ref="B8:H8"/>
    <mergeCell ref="A3:H3"/>
    <mergeCell ref="B9:H9"/>
    <mergeCell ref="B4:H4"/>
    <mergeCell ref="B7:H7"/>
  </mergeCells>
  <printOptions/>
  <pageMargins bottom="1.0" footer="0.0" header="0.0" left="0.75" right="0.75" top="1.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00000"/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8" width="15.0"/>
  </cols>
  <sheetData>
    <row r="1">
      <c r="A1" s="124" t="s">
        <v>169</v>
      </c>
      <c r="B1" s="124"/>
      <c r="C1" s="124"/>
      <c r="D1" s="124"/>
      <c r="E1" s="124"/>
      <c r="F1" s="124"/>
      <c r="G1" s="124"/>
      <c r="H1" s="124"/>
      <c r="I1" s="124"/>
      <c r="J1" s="124"/>
      <c r="K1" s="124"/>
      <c r="L1" s="124"/>
      <c r="M1" s="124"/>
      <c r="N1" s="124"/>
      <c r="O1" s="124"/>
      <c r="P1" s="124"/>
      <c r="Q1" s="124"/>
      <c r="R1" s="124"/>
    </row>
    <row r="2">
      <c r="A2" s="125">
        <v>84.0</v>
      </c>
      <c r="B2" s="125" t="s">
        <v>170</v>
      </c>
      <c r="C2" s="125" t="s">
        <v>171</v>
      </c>
      <c r="D2" s="125" t="s">
        <v>69</v>
      </c>
      <c r="E2" s="125" t="s">
        <v>70</v>
      </c>
      <c r="F2" s="125" t="s">
        <v>172</v>
      </c>
      <c r="G2" s="125" t="s">
        <v>173</v>
      </c>
      <c r="H2" s="125" t="s">
        <v>174</v>
      </c>
      <c r="I2" s="125" t="s">
        <v>175</v>
      </c>
      <c r="J2" s="125" t="s">
        <v>176</v>
      </c>
      <c r="K2" s="125" t="s">
        <v>177</v>
      </c>
      <c r="L2" s="125" t="s">
        <v>178</v>
      </c>
      <c r="M2" s="125" t="s">
        <v>121</v>
      </c>
      <c r="N2" s="125" t="s">
        <v>179</v>
      </c>
      <c r="O2" s="125" t="s">
        <v>180</v>
      </c>
      <c r="P2" s="125" t="s">
        <v>181</v>
      </c>
      <c r="Q2" s="125"/>
      <c r="R2" s="125"/>
    </row>
    <row r="3">
      <c r="A3">
        <v>1.0</v>
      </c>
      <c r="B3">
        <v>100.0</v>
      </c>
      <c r="C3">
        <v>150.0</v>
      </c>
      <c r="D3">
        <v>3.0</v>
      </c>
      <c r="E3" t="str">
        <f t="shared" ref="E3:E1389" si="1">(J3/G3)-C3</f>
        <v>2.4</v>
      </c>
      <c r="F3">
        <v>4.0</v>
      </c>
      <c r="G3">
        <v>2.0</v>
      </c>
      <c r="H3" t="str">
        <f t="shared" ref="H3:H1666" si="2">G3*F3</f>
        <v>8</v>
      </c>
      <c r="I3">
        <v>96.0</v>
      </c>
      <c r="J3" t="str">
        <f t="shared" ref="J3:J1666" si="3">(I3/8)*25.4</f>
        <v>304.8</v>
      </c>
      <c r="K3" t="str">
        <f t="shared" ref="K3:K1666" si="4">M3*J3/100</f>
        <v>1307.592</v>
      </c>
      <c r="L3" t="str">
        <f t="shared" ref="L3:L1666" si="5">(1000/H3)*(J3/1000)*M3/1000</f>
        <v>16.3449</v>
      </c>
      <c r="M3" t="str">
        <f t="shared" ref="M3:M1666" si="6">( B3+D3)*F3+17</f>
        <v>429</v>
      </c>
      <c r="N3" t="s">
        <v>182</v>
      </c>
      <c r="O3" t="s">
        <v>183</v>
      </c>
      <c r="P3" t="s">
        <v>184</v>
      </c>
      <c r="R3" t="s">
        <v>182</v>
      </c>
    </row>
    <row r="4">
      <c r="A4">
        <v>2.0</v>
      </c>
      <c r="B4">
        <v>50.0</v>
      </c>
      <c r="C4">
        <v>100.0</v>
      </c>
      <c r="D4">
        <v>3.0</v>
      </c>
      <c r="E4" t="str">
        <f t="shared" si="1"/>
        <v>3.716666667</v>
      </c>
      <c r="F4">
        <v>7.0</v>
      </c>
      <c r="G4">
        <v>3.0</v>
      </c>
      <c r="H4" t="str">
        <f t="shared" si="2"/>
        <v>21</v>
      </c>
      <c r="I4">
        <v>98.0</v>
      </c>
      <c r="J4" t="str">
        <f t="shared" si="3"/>
        <v>311.15</v>
      </c>
      <c r="K4" t="str">
        <f t="shared" si="4"/>
        <v>1207.262</v>
      </c>
      <c r="L4" t="str">
        <f t="shared" si="5"/>
        <v>5.748866667</v>
      </c>
      <c r="M4" t="str">
        <f t="shared" si="6"/>
        <v>388</v>
      </c>
      <c r="N4" t="s">
        <v>182</v>
      </c>
      <c r="O4" t="s">
        <v>185</v>
      </c>
      <c r="P4" t="s">
        <v>186</v>
      </c>
      <c r="R4" t="s">
        <v>187</v>
      </c>
    </row>
    <row r="5">
      <c r="A5">
        <v>3.0</v>
      </c>
      <c r="B5">
        <v>45.0</v>
      </c>
      <c r="C5">
        <v>159.0</v>
      </c>
      <c r="D5">
        <v>3.0</v>
      </c>
      <c r="E5" t="str">
        <f t="shared" si="1"/>
        <v>2.925</v>
      </c>
      <c r="F5">
        <v>8.0</v>
      </c>
      <c r="G5">
        <v>2.0</v>
      </c>
      <c r="H5" t="str">
        <f t="shared" si="2"/>
        <v>16</v>
      </c>
      <c r="I5">
        <v>102.0</v>
      </c>
      <c r="J5" t="str">
        <f t="shared" si="3"/>
        <v>323.85</v>
      </c>
      <c r="K5" t="str">
        <f t="shared" si="4"/>
        <v>1298.6385</v>
      </c>
      <c r="L5" t="str">
        <f t="shared" si="5"/>
        <v>8.116490625</v>
      </c>
      <c r="M5" t="str">
        <f t="shared" si="6"/>
        <v>401</v>
      </c>
      <c r="N5" t="s">
        <v>182</v>
      </c>
      <c r="O5" t="s">
        <v>188</v>
      </c>
    </row>
    <row r="6">
      <c r="A6">
        <v>4.0</v>
      </c>
      <c r="B6">
        <v>60.0</v>
      </c>
      <c r="C6">
        <v>159.0</v>
      </c>
      <c r="D6">
        <v>3.0</v>
      </c>
      <c r="E6" t="str">
        <f t="shared" si="1"/>
        <v>2.925</v>
      </c>
      <c r="F6">
        <v>6.0</v>
      </c>
      <c r="G6">
        <v>2.0</v>
      </c>
      <c r="H6" t="str">
        <f t="shared" si="2"/>
        <v>12</v>
      </c>
      <c r="I6">
        <v>102.0</v>
      </c>
      <c r="J6" t="str">
        <f t="shared" si="3"/>
        <v>323.85</v>
      </c>
      <c r="K6" t="str">
        <f t="shared" si="4"/>
        <v>1279.2075</v>
      </c>
      <c r="L6" t="str">
        <f t="shared" si="5"/>
        <v>10.6600625</v>
      </c>
      <c r="M6" t="str">
        <f t="shared" si="6"/>
        <v>395</v>
      </c>
      <c r="N6" t="s">
        <v>182</v>
      </c>
      <c r="O6" t="s">
        <v>189</v>
      </c>
    </row>
    <row r="7">
      <c r="A7">
        <v>5.0</v>
      </c>
      <c r="B7">
        <v>100.0</v>
      </c>
      <c r="C7">
        <v>25.0</v>
      </c>
      <c r="D7">
        <v>3.0</v>
      </c>
      <c r="E7" t="str">
        <f t="shared" si="1"/>
        <v>3.3765625</v>
      </c>
      <c r="F7">
        <v>4.0</v>
      </c>
      <c r="G7">
        <v>16.0</v>
      </c>
      <c r="H7" t="str">
        <f t="shared" si="2"/>
        <v>64</v>
      </c>
      <c r="I7">
        <v>143.0</v>
      </c>
      <c r="J7" t="str">
        <f t="shared" si="3"/>
        <v>454.025</v>
      </c>
      <c r="K7" t="str">
        <f t="shared" si="4"/>
        <v>1947.76725</v>
      </c>
      <c r="L7" t="str">
        <f t="shared" si="5"/>
        <v>3.043386328</v>
      </c>
      <c r="M7" t="str">
        <f t="shared" si="6"/>
        <v>429</v>
      </c>
      <c r="N7" t="s">
        <v>182</v>
      </c>
      <c r="O7" t="s">
        <v>190</v>
      </c>
    </row>
    <row r="8">
      <c r="A8">
        <v>6.0</v>
      </c>
      <c r="B8">
        <v>38.0</v>
      </c>
      <c r="C8">
        <v>25.0</v>
      </c>
      <c r="D8">
        <v>3.0</v>
      </c>
      <c r="E8" t="str">
        <f t="shared" si="1"/>
        <v>3.3765625</v>
      </c>
      <c r="F8">
        <v>10.0</v>
      </c>
      <c r="G8">
        <v>16.0</v>
      </c>
      <c r="H8" t="str">
        <f t="shared" si="2"/>
        <v>160</v>
      </c>
      <c r="I8">
        <v>143.0</v>
      </c>
      <c r="J8" t="str">
        <f t="shared" si="3"/>
        <v>454.025</v>
      </c>
      <c r="K8" t="str">
        <f t="shared" si="4"/>
        <v>1938.68675</v>
      </c>
      <c r="L8" t="str">
        <f t="shared" si="5"/>
        <v>1.211679219</v>
      </c>
      <c r="M8" t="str">
        <f t="shared" si="6"/>
        <v>427</v>
      </c>
      <c r="N8" t="s">
        <v>182</v>
      </c>
      <c r="O8" t="s">
        <v>191</v>
      </c>
    </row>
    <row r="9">
      <c r="A9">
        <v>7.0</v>
      </c>
      <c r="B9">
        <v>140.0</v>
      </c>
      <c r="C9">
        <v>80.0</v>
      </c>
      <c r="D9">
        <v>3.0</v>
      </c>
      <c r="E9" t="str">
        <f t="shared" si="1"/>
        <v>3.34375</v>
      </c>
      <c r="F9">
        <v>2.0</v>
      </c>
      <c r="G9">
        <v>4.0</v>
      </c>
      <c r="H9" t="str">
        <f t="shared" si="2"/>
        <v>8</v>
      </c>
      <c r="I9">
        <v>105.0</v>
      </c>
      <c r="J9" t="str">
        <f t="shared" si="3"/>
        <v>333.375</v>
      </c>
      <c r="K9" t="str">
        <f t="shared" si="4"/>
        <v>1010.12625</v>
      </c>
      <c r="L9" t="str">
        <f t="shared" si="5"/>
        <v>12.62657813</v>
      </c>
      <c r="M9" t="str">
        <f t="shared" si="6"/>
        <v>303</v>
      </c>
      <c r="N9" t="s">
        <v>182</v>
      </c>
      <c r="O9" t="s">
        <v>192</v>
      </c>
      <c r="P9" t="s">
        <v>193</v>
      </c>
    </row>
    <row r="10">
      <c r="A10">
        <v>8.0</v>
      </c>
      <c r="B10">
        <v>30.0</v>
      </c>
      <c r="C10">
        <v>30.0</v>
      </c>
      <c r="D10">
        <v>3.0</v>
      </c>
      <c r="E10" t="str">
        <f t="shared" si="1"/>
        <v>3.866666667</v>
      </c>
      <c r="F10">
        <v>12.0</v>
      </c>
      <c r="G10">
        <v>9.0</v>
      </c>
      <c r="H10" t="str">
        <f t="shared" si="2"/>
        <v>108</v>
      </c>
      <c r="I10">
        <v>96.0</v>
      </c>
      <c r="J10" t="str">
        <f t="shared" si="3"/>
        <v>304.8</v>
      </c>
      <c r="K10" t="str">
        <f t="shared" si="4"/>
        <v>1258.824</v>
      </c>
      <c r="L10" t="str">
        <f t="shared" si="5"/>
        <v>1.165577778</v>
      </c>
      <c r="M10" t="str">
        <f t="shared" si="6"/>
        <v>413</v>
      </c>
      <c r="N10" t="s">
        <v>182</v>
      </c>
      <c r="O10" t="s">
        <v>194</v>
      </c>
    </row>
    <row r="11">
      <c r="A11">
        <v>9.0</v>
      </c>
      <c r="B11">
        <v>202.0</v>
      </c>
      <c r="C11">
        <v>168.0</v>
      </c>
      <c r="D11">
        <v>3.0</v>
      </c>
      <c r="E11" t="str">
        <f t="shared" si="1"/>
        <v>3.45</v>
      </c>
      <c r="F11">
        <v>1.0</v>
      </c>
      <c r="G11">
        <v>2.0</v>
      </c>
      <c r="H11" t="str">
        <f t="shared" si="2"/>
        <v>2</v>
      </c>
      <c r="I11">
        <v>108.0</v>
      </c>
      <c r="J11" t="str">
        <f t="shared" si="3"/>
        <v>342.9</v>
      </c>
      <c r="K11" t="str">
        <f t="shared" si="4"/>
        <v>761.238</v>
      </c>
      <c r="L11" t="str">
        <f t="shared" si="5"/>
        <v>38.0619</v>
      </c>
      <c r="M11" t="str">
        <f t="shared" si="6"/>
        <v>222</v>
      </c>
      <c r="N11" t="s">
        <v>182</v>
      </c>
      <c r="O11" t="s">
        <v>195</v>
      </c>
      <c r="P11" t="s">
        <v>196</v>
      </c>
    </row>
    <row r="12">
      <c r="A12">
        <v>10.0</v>
      </c>
      <c r="B12">
        <v>97.0</v>
      </c>
      <c r="C12">
        <v>72.0</v>
      </c>
      <c r="D12">
        <v>3.0</v>
      </c>
      <c r="E12" t="str">
        <f t="shared" si="1"/>
        <v>4.2</v>
      </c>
      <c r="F12">
        <v>4.0</v>
      </c>
      <c r="G12">
        <v>4.0</v>
      </c>
      <c r="H12" t="str">
        <f t="shared" si="2"/>
        <v>16</v>
      </c>
      <c r="I12">
        <v>96.0</v>
      </c>
      <c r="J12" t="str">
        <f t="shared" si="3"/>
        <v>304.8</v>
      </c>
      <c r="K12" t="str">
        <f t="shared" si="4"/>
        <v>1271.016</v>
      </c>
      <c r="L12" t="str">
        <f t="shared" si="5"/>
        <v>7.94385</v>
      </c>
      <c r="M12" t="str">
        <f t="shared" si="6"/>
        <v>417</v>
      </c>
      <c r="N12" t="s">
        <v>187</v>
      </c>
      <c r="O12" t="s">
        <v>197</v>
      </c>
      <c r="P12" t="s">
        <v>198</v>
      </c>
    </row>
    <row r="13">
      <c r="A13">
        <v>11.0</v>
      </c>
      <c r="B13">
        <v>190.0</v>
      </c>
      <c r="C13">
        <v>148.0</v>
      </c>
      <c r="D13">
        <v>3.0</v>
      </c>
      <c r="E13" t="str">
        <f t="shared" si="1"/>
        <v>3.341666667</v>
      </c>
      <c r="F13">
        <v>2.0</v>
      </c>
      <c r="G13">
        <v>3.0</v>
      </c>
      <c r="H13" t="str">
        <f t="shared" si="2"/>
        <v>6</v>
      </c>
      <c r="I13">
        <v>143.0</v>
      </c>
      <c r="J13" t="str">
        <f t="shared" si="3"/>
        <v>454.025</v>
      </c>
      <c r="K13" t="str">
        <f t="shared" si="4"/>
        <v>1829.72075</v>
      </c>
      <c r="L13" t="str">
        <f t="shared" si="5"/>
        <v>30.49534583</v>
      </c>
      <c r="M13" t="str">
        <f t="shared" si="6"/>
        <v>403</v>
      </c>
      <c r="N13" t="s">
        <v>187</v>
      </c>
      <c r="O13" t="s">
        <v>199</v>
      </c>
      <c r="P13" t="s">
        <v>200</v>
      </c>
    </row>
    <row r="14">
      <c r="A14">
        <v>12.0</v>
      </c>
      <c r="B14">
        <v>240.0</v>
      </c>
      <c r="C14">
        <v>168.0</v>
      </c>
      <c r="D14">
        <v>3.0</v>
      </c>
      <c r="E14" t="str">
        <f t="shared" si="1"/>
        <v>3.45</v>
      </c>
      <c r="F14">
        <v>1.0</v>
      </c>
      <c r="G14">
        <v>2.0</v>
      </c>
      <c r="H14" t="str">
        <f t="shared" si="2"/>
        <v>2</v>
      </c>
      <c r="I14">
        <v>108.0</v>
      </c>
      <c r="J14" t="str">
        <f t="shared" si="3"/>
        <v>342.9</v>
      </c>
      <c r="K14" t="str">
        <f t="shared" si="4"/>
        <v>891.54</v>
      </c>
      <c r="L14" t="str">
        <f t="shared" si="5"/>
        <v>44.577</v>
      </c>
      <c r="M14" t="str">
        <f t="shared" si="6"/>
        <v>260</v>
      </c>
      <c r="N14" t="s">
        <v>187</v>
      </c>
      <c r="O14" t="s">
        <v>201</v>
      </c>
      <c r="P14" t="s">
        <v>202</v>
      </c>
    </row>
    <row r="15">
      <c r="A15">
        <v>13.0</v>
      </c>
      <c r="B15">
        <v>35.0</v>
      </c>
      <c r="C15">
        <v>35.0</v>
      </c>
      <c r="D15">
        <v>3.0</v>
      </c>
      <c r="E15" t="str">
        <f t="shared" si="1"/>
        <v>3.1</v>
      </c>
      <c r="F15">
        <v>10.0</v>
      </c>
      <c r="G15">
        <v>8.0</v>
      </c>
      <c r="H15" t="str">
        <f t="shared" si="2"/>
        <v>80</v>
      </c>
      <c r="I15">
        <v>96.0</v>
      </c>
      <c r="J15" t="str">
        <f t="shared" si="3"/>
        <v>304.8</v>
      </c>
      <c r="K15" t="str">
        <f t="shared" si="4"/>
        <v>1210.056</v>
      </c>
      <c r="L15" t="str">
        <f t="shared" si="5"/>
        <v>1.51257</v>
      </c>
      <c r="M15" t="str">
        <f t="shared" si="6"/>
        <v>397</v>
      </c>
      <c r="N15" t="s">
        <v>182</v>
      </c>
      <c r="O15" t="s">
        <v>203</v>
      </c>
    </row>
    <row r="16">
      <c r="A16">
        <v>14.0</v>
      </c>
      <c r="B16">
        <v>124.0</v>
      </c>
      <c r="C16">
        <v>124.0</v>
      </c>
      <c r="D16">
        <v>3.0</v>
      </c>
      <c r="E16" t="str">
        <f t="shared" si="1"/>
        <v>3</v>
      </c>
      <c r="F16">
        <v>3.0</v>
      </c>
      <c r="G16">
        <v>3.0</v>
      </c>
      <c r="H16" t="str">
        <f t="shared" si="2"/>
        <v>9</v>
      </c>
      <c r="I16">
        <v>120.0</v>
      </c>
      <c r="J16" t="str">
        <f t="shared" si="3"/>
        <v>381</v>
      </c>
      <c r="K16" t="str">
        <f t="shared" si="4"/>
        <v>1516.38</v>
      </c>
      <c r="L16" t="str">
        <f t="shared" si="5"/>
        <v>16.84866667</v>
      </c>
      <c r="M16" t="str">
        <f t="shared" si="6"/>
        <v>398</v>
      </c>
      <c r="N16" t="s">
        <v>182</v>
      </c>
      <c r="O16" t="s">
        <v>204</v>
      </c>
    </row>
    <row r="17">
      <c r="A17">
        <v>15.0</v>
      </c>
      <c r="B17">
        <v>165.0</v>
      </c>
      <c r="C17">
        <v>153.0</v>
      </c>
      <c r="D17">
        <v>3.0</v>
      </c>
      <c r="E17" t="str">
        <f t="shared" si="1"/>
        <v>2.575</v>
      </c>
      <c r="F17">
        <v>2.0</v>
      </c>
      <c r="G17">
        <v>2.0</v>
      </c>
      <c r="H17" t="str">
        <f t="shared" si="2"/>
        <v>4</v>
      </c>
      <c r="I17">
        <v>98.0</v>
      </c>
      <c r="J17" t="str">
        <f t="shared" si="3"/>
        <v>311.15</v>
      </c>
      <c r="K17" t="str">
        <f t="shared" si="4"/>
        <v>1098.3595</v>
      </c>
      <c r="L17" t="str">
        <f t="shared" si="5"/>
        <v>27.4589875</v>
      </c>
      <c r="M17" t="str">
        <f t="shared" si="6"/>
        <v>353</v>
      </c>
      <c r="N17" t="s">
        <v>182</v>
      </c>
      <c r="O17" t="s">
        <v>205</v>
      </c>
      <c r="P17" t="s">
        <v>206</v>
      </c>
    </row>
    <row r="18">
      <c r="A18">
        <v>16.0</v>
      </c>
      <c r="B18">
        <v>70.0</v>
      </c>
      <c r="C18">
        <v>140.0</v>
      </c>
      <c r="D18">
        <v>3.0</v>
      </c>
      <c r="E18" t="str">
        <f t="shared" si="1"/>
        <v>2.875</v>
      </c>
      <c r="F18">
        <v>5.0</v>
      </c>
      <c r="G18">
        <v>3.0</v>
      </c>
      <c r="H18" t="str">
        <f t="shared" si="2"/>
        <v>15</v>
      </c>
      <c r="I18">
        <v>135.0</v>
      </c>
      <c r="J18" t="str">
        <f t="shared" si="3"/>
        <v>428.625</v>
      </c>
      <c r="K18" t="str">
        <f t="shared" si="4"/>
        <v>1637.3475</v>
      </c>
      <c r="L18" t="str">
        <f t="shared" si="5"/>
        <v>10.91565</v>
      </c>
      <c r="M18" t="str">
        <f t="shared" si="6"/>
        <v>382</v>
      </c>
      <c r="N18" t="s">
        <v>182</v>
      </c>
      <c r="O18" t="s">
        <v>207</v>
      </c>
    </row>
    <row r="19">
      <c r="A19">
        <v>17.0</v>
      </c>
      <c r="B19">
        <v>50.0</v>
      </c>
      <c r="C19">
        <v>123.0</v>
      </c>
      <c r="D19">
        <v>3.0</v>
      </c>
      <c r="E19" t="str">
        <f t="shared" si="1"/>
        <v>4</v>
      </c>
      <c r="F19">
        <v>7.0</v>
      </c>
      <c r="G19">
        <v>3.0</v>
      </c>
      <c r="H19" t="str">
        <f t="shared" si="2"/>
        <v>21</v>
      </c>
      <c r="I19">
        <v>120.0</v>
      </c>
      <c r="J19" t="str">
        <f t="shared" si="3"/>
        <v>381</v>
      </c>
      <c r="K19" t="str">
        <f t="shared" si="4"/>
        <v>1478.28</v>
      </c>
      <c r="L19" t="str">
        <f t="shared" si="5"/>
        <v>7.039428571</v>
      </c>
      <c r="M19" t="str">
        <f t="shared" si="6"/>
        <v>388</v>
      </c>
      <c r="N19" t="s">
        <v>182</v>
      </c>
      <c r="O19" t="s">
        <v>208</v>
      </c>
    </row>
    <row r="20">
      <c r="A20">
        <v>18.0</v>
      </c>
      <c r="B20">
        <v>145.0</v>
      </c>
      <c r="C20">
        <v>146.0</v>
      </c>
      <c r="D20">
        <v>3.0</v>
      </c>
      <c r="E20" t="str">
        <f t="shared" si="1"/>
        <v>5.341666667</v>
      </c>
      <c r="F20">
        <v>2.0</v>
      </c>
      <c r="G20">
        <v>3.0</v>
      </c>
      <c r="H20" t="str">
        <f t="shared" si="2"/>
        <v>6</v>
      </c>
      <c r="I20">
        <v>143.0</v>
      </c>
      <c r="J20" t="str">
        <f t="shared" si="3"/>
        <v>454.025</v>
      </c>
      <c r="K20" t="str">
        <f t="shared" si="4"/>
        <v>1421.09825</v>
      </c>
      <c r="L20" t="str">
        <f t="shared" si="5"/>
        <v>23.68497083</v>
      </c>
      <c r="M20" t="str">
        <f t="shared" si="6"/>
        <v>313</v>
      </c>
      <c r="N20" t="s">
        <v>187</v>
      </c>
      <c r="O20" t="s">
        <v>209</v>
      </c>
      <c r="P20" t="s">
        <v>210</v>
      </c>
    </row>
    <row r="21" ht="15.75" customHeight="1">
      <c r="A21">
        <v>19.0</v>
      </c>
      <c r="B21">
        <v>49.0</v>
      </c>
      <c r="C21">
        <v>140.0</v>
      </c>
      <c r="D21">
        <v>3.0</v>
      </c>
      <c r="E21" t="str">
        <f t="shared" si="1"/>
        <v>2.875</v>
      </c>
      <c r="F21">
        <v>8.0</v>
      </c>
      <c r="G21">
        <v>3.0</v>
      </c>
      <c r="H21" t="str">
        <f t="shared" si="2"/>
        <v>24</v>
      </c>
      <c r="I21">
        <v>135.0</v>
      </c>
      <c r="J21" t="str">
        <f t="shared" si="3"/>
        <v>428.625</v>
      </c>
      <c r="K21" t="str">
        <f t="shared" si="4"/>
        <v>1855.94625</v>
      </c>
      <c r="L21" t="str">
        <f t="shared" si="5"/>
        <v>7.733109375</v>
      </c>
      <c r="M21" t="str">
        <f t="shared" si="6"/>
        <v>433</v>
      </c>
      <c r="N21" t="s">
        <v>182</v>
      </c>
      <c r="O21" t="s">
        <v>211</v>
      </c>
    </row>
    <row r="22" ht="15.75" customHeight="1">
      <c r="A22">
        <v>20.0</v>
      </c>
      <c r="B22">
        <v>65.0</v>
      </c>
      <c r="C22">
        <v>65.0</v>
      </c>
      <c r="D22">
        <v>3.0</v>
      </c>
      <c r="E22" t="str">
        <f t="shared" si="1"/>
        <v>3.58</v>
      </c>
      <c r="F22">
        <v>6.0</v>
      </c>
      <c r="G22">
        <v>5.0</v>
      </c>
      <c r="H22" t="str">
        <f t="shared" si="2"/>
        <v>30</v>
      </c>
      <c r="I22">
        <v>108.0</v>
      </c>
      <c r="J22" t="str">
        <f t="shared" si="3"/>
        <v>342.9</v>
      </c>
      <c r="K22" t="str">
        <f t="shared" si="4"/>
        <v>1457.325</v>
      </c>
      <c r="L22" t="str">
        <f t="shared" si="5"/>
        <v>4.85775</v>
      </c>
      <c r="M22" t="str">
        <f t="shared" si="6"/>
        <v>425</v>
      </c>
      <c r="N22" t="s">
        <v>182</v>
      </c>
      <c r="O22" t="s">
        <v>212</v>
      </c>
    </row>
    <row r="23" ht="15.75" customHeight="1">
      <c r="A23">
        <v>21.0</v>
      </c>
      <c r="B23">
        <v>110.0</v>
      </c>
      <c r="C23">
        <v>57.0</v>
      </c>
      <c r="D23">
        <v>3.0</v>
      </c>
      <c r="E23" t="str">
        <f t="shared" si="1"/>
        <v>3.96</v>
      </c>
      <c r="F23">
        <v>3.0</v>
      </c>
      <c r="G23">
        <v>5.0</v>
      </c>
      <c r="H23" t="str">
        <f t="shared" si="2"/>
        <v>15</v>
      </c>
      <c r="I23">
        <v>96.0</v>
      </c>
      <c r="J23" t="str">
        <f t="shared" si="3"/>
        <v>304.8</v>
      </c>
      <c r="K23" t="str">
        <f t="shared" si="4"/>
        <v>1085.088</v>
      </c>
      <c r="L23" t="str">
        <f t="shared" si="5"/>
        <v>7.23392</v>
      </c>
      <c r="M23" t="str">
        <f t="shared" si="6"/>
        <v>356</v>
      </c>
      <c r="N23" t="s">
        <v>187</v>
      </c>
      <c r="O23" t="s">
        <v>213</v>
      </c>
      <c r="P23" t="s">
        <v>214</v>
      </c>
    </row>
    <row r="24" ht="15.75" customHeight="1">
      <c r="A24">
        <v>22.0</v>
      </c>
      <c r="B24">
        <v>134.0</v>
      </c>
      <c r="C24">
        <v>82.0</v>
      </c>
      <c r="D24">
        <v>3.0</v>
      </c>
      <c r="E24" t="str">
        <f t="shared" si="1"/>
        <v>3.725</v>
      </c>
      <c r="F24">
        <v>2.0</v>
      </c>
      <c r="G24">
        <v>4.0</v>
      </c>
      <c r="H24" t="str">
        <f t="shared" si="2"/>
        <v>8</v>
      </c>
      <c r="I24">
        <v>108.0</v>
      </c>
      <c r="J24" t="str">
        <f t="shared" si="3"/>
        <v>342.9</v>
      </c>
      <c r="K24" t="str">
        <f t="shared" si="4"/>
        <v>997.839</v>
      </c>
      <c r="L24" t="str">
        <f t="shared" si="5"/>
        <v>12.4729875</v>
      </c>
      <c r="M24" t="str">
        <f t="shared" si="6"/>
        <v>291</v>
      </c>
      <c r="N24" t="s">
        <v>182</v>
      </c>
      <c r="O24" t="s">
        <v>215</v>
      </c>
      <c r="P24" t="s">
        <v>216</v>
      </c>
    </row>
    <row r="25" ht="15.75" customHeight="1">
      <c r="A25">
        <v>23.0</v>
      </c>
      <c r="B25">
        <v>50.0</v>
      </c>
      <c r="C25">
        <v>50.0</v>
      </c>
      <c r="D25">
        <v>3.0</v>
      </c>
      <c r="E25" t="str">
        <f t="shared" si="1"/>
        <v>3.578125</v>
      </c>
      <c r="F25">
        <v>7.0</v>
      </c>
      <c r="G25">
        <v>8.0</v>
      </c>
      <c r="H25" t="str">
        <f t="shared" si="2"/>
        <v>56</v>
      </c>
      <c r="I25">
        <v>135.0</v>
      </c>
      <c r="J25" t="str">
        <f t="shared" si="3"/>
        <v>428.625</v>
      </c>
      <c r="K25" t="str">
        <f t="shared" si="4"/>
        <v>1663.065</v>
      </c>
      <c r="L25" t="str">
        <f t="shared" si="5"/>
        <v>2.969758929</v>
      </c>
      <c r="M25" t="str">
        <f t="shared" si="6"/>
        <v>388</v>
      </c>
      <c r="N25" t="s">
        <v>182</v>
      </c>
      <c r="O25" t="s">
        <v>217</v>
      </c>
      <c r="P25" t="s">
        <v>218</v>
      </c>
    </row>
    <row r="26" ht="15.75" customHeight="1">
      <c r="A26">
        <v>24.0</v>
      </c>
      <c r="B26">
        <v>70.0</v>
      </c>
      <c r="C26">
        <v>60.0</v>
      </c>
      <c r="D26">
        <v>3.0</v>
      </c>
      <c r="E26" t="str">
        <f t="shared" si="1"/>
        <v>3.5</v>
      </c>
      <c r="F26">
        <v>5.0</v>
      </c>
      <c r="G26">
        <v>6.0</v>
      </c>
      <c r="H26" t="str">
        <f t="shared" si="2"/>
        <v>30</v>
      </c>
      <c r="I26">
        <v>120.0</v>
      </c>
      <c r="J26" t="str">
        <f t="shared" si="3"/>
        <v>381</v>
      </c>
      <c r="K26" t="str">
        <f t="shared" si="4"/>
        <v>1455.42</v>
      </c>
      <c r="L26" t="str">
        <f t="shared" si="5"/>
        <v>4.8514</v>
      </c>
      <c r="M26" t="str">
        <f t="shared" si="6"/>
        <v>382</v>
      </c>
      <c r="N26" t="s">
        <v>182</v>
      </c>
      <c r="O26" t="s">
        <v>219</v>
      </c>
      <c r="P26" t="s">
        <v>218</v>
      </c>
    </row>
    <row r="27" ht="15.75" customHeight="1">
      <c r="A27">
        <v>25.0</v>
      </c>
      <c r="B27">
        <v>20.0</v>
      </c>
      <c r="C27">
        <v>124.0</v>
      </c>
      <c r="D27">
        <v>3.0</v>
      </c>
      <c r="E27" t="str">
        <f t="shared" si="1"/>
        <v>3</v>
      </c>
      <c r="F27">
        <v>13.0</v>
      </c>
      <c r="G27">
        <v>3.0</v>
      </c>
      <c r="H27" t="str">
        <f t="shared" si="2"/>
        <v>39</v>
      </c>
      <c r="I27">
        <v>120.0</v>
      </c>
      <c r="J27" t="str">
        <f t="shared" si="3"/>
        <v>381</v>
      </c>
      <c r="K27" t="str">
        <f t="shared" si="4"/>
        <v>1203.96</v>
      </c>
      <c r="L27" t="str">
        <f t="shared" si="5"/>
        <v>3.087076923</v>
      </c>
      <c r="M27" t="str">
        <f t="shared" si="6"/>
        <v>316</v>
      </c>
      <c r="N27" t="s">
        <v>182</v>
      </c>
      <c r="O27" t="s">
        <v>220</v>
      </c>
    </row>
    <row r="28" ht="15.75" customHeight="1">
      <c r="A28">
        <v>26.0</v>
      </c>
      <c r="B28">
        <v>160.0</v>
      </c>
      <c r="C28">
        <v>64.0</v>
      </c>
      <c r="D28">
        <v>3.0</v>
      </c>
      <c r="E28" t="str">
        <f t="shared" si="1"/>
        <v>2.675</v>
      </c>
      <c r="F28">
        <v>2.0</v>
      </c>
      <c r="G28">
        <v>5.0</v>
      </c>
      <c r="H28" t="str">
        <f t="shared" si="2"/>
        <v>10</v>
      </c>
      <c r="I28">
        <v>105.0</v>
      </c>
      <c r="J28" t="str">
        <f t="shared" si="3"/>
        <v>333.375</v>
      </c>
      <c r="K28" t="str">
        <f t="shared" si="4"/>
        <v>1143.47625</v>
      </c>
      <c r="L28" t="str">
        <f t="shared" si="5"/>
        <v>11.4347625</v>
      </c>
      <c r="M28" t="str">
        <f t="shared" si="6"/>
        <v>343</v>
      </c>
      <c r="N28" t="s">
        <v>187</v>
      </c>
      <c r="O28" t="s">
        <v>221</v>
      </c>
      <c r="P28" t="s">
        <v>222</v>
      </c>
    </row>
    <row r="29" ht="15.75" customHeight="1">
      <c r="A29">
        <v>27.0</v>
      </c>
      <c r="B29">
        <v>80.0</v>
      </c>
      <c r="C29">
        <v>124.0</v>
      </c>
      <c r="D29">
        <v>3.0</v>
      </c>
      <c r="E29" t="str">
        <f t="shared" si="1"/>
        <v>3</v>
      </c>
      <c r="F29">
        <v>5.0</v>
      </c>
      <c r="G29">
        <v>3.0</v>
      </c>
      <c r="H29" t="str">
        <f t="shared" si="2"/>
        <v>15</v>
      </c>
      <c r="I29">
        <v>120.0</v>
      </c>
      <c r="J29" t="str">
        <f t="shared" si="3"/>
        <v>381</v>
      </c>
      <c r="K29" t="str">
        <f t="shared" si="4"/>
        <v>1645.92</v>
      </c>
      <c r="L29" t="str">
        <f t="shared" si="5"/>
        <v>10.9728</v>
      </c>
      <c r="M29" t="str">
        <f t="shared" si="6"/>
        <v>432</v>
      </c>
      <c r="N29" t="s">
        <v>182</v>
      </c>
      <c r="O29" t="s">
        <v>223</v>
      </c>
    </row>
    <row r="30" ht="15.75" customHeight="1">
      <c r="A30">
        <v>28.0</v>
      </c>
      <c r="B30">
        <v>102.0</v>
      </c>
      <c r="C30">
        <v>75.0</v>
      </c>
      <c r="D30">
        <v>3.0</v>
      </c>
      <c r="E30" t="str">
        <f t="shared" si="1"/>
        <v>2.7875</v>
      </c>
      <c r="F30">
        <v>2.0</v>
      </c>
      <c r="G30">
        <v>4.0</v>
      </c>
      <c r="H30" t="str">
        <f t="shared" si="2"/>
        <v>8</v>
      </c>
      <c r="I30">
        <v>98.0</v>
      </c>
      <c r="J30" t="str">
        <f t="shared" si="3"/>
        <v>311.15</v>
      </c>
      <c r="K30" t="str">
        <f t="shared" si="4"/>
        <v>706.3105</v>
      </c>
      <c r="L30" t="str">
        <f t="shared" si="5"/>
        <v>8.82888125</v>
      </c>
      <c r="M30" t="str">
        <f t="shared" si="6"/>
        <v>227</v>
      </c>
      <c r="N30" t="s">
        <v>182</v>
      </c>
      <c r="O30" t="s">
        <v>224</v>
      </c>
      <c r="P30" t="s">
        <v>225</v>
      </c>
    </row>
    <row r="31" ht="15.75" customHeight="1">
      <c r="A31">
        <v>29.0</v>
      </c>
      <c r="B31">
        <v>175.0</v>
      </c>
      <c r="C31">
        <v>111.0</v>
      </c>
      <c r="D31">
        <v>3.0</v>
      </c>
      <c r="E31" t="str">
        <f t="shared" si="1"/>
        <v>3.3</v>
      </c>
      <c r="F31">
        <v>2.0</v>
      </c>
      <c r="G31">
        <v>3.0</v>
      </c>
      <c r="H31" t="str">
        <f t="shared" si="2"/>
        <v>6</v>
      </c>
      <c r="I31">
        <v>108.0</v>
      </c>
      <c r="J31" t="str">
        <f t="shared" si="3"/>
        <v>342.9</v>
      </c>
      <c r="K31" t="str">
        <f t="shared" si="4"/>
        <v>1279.017</v>
      </c>
      <c r="L31" t="str">
        <f t="shared" si="5"/>
        <v>21.31695</v>
      </c>
      <c r="M31" t="str">
        <f t="shared" si="6"/>
        <v>373</v>
      </c>
      <c r="N31" t="s">
        <v>182</v>
      </c>
      <c r="O31" t="s">
        <v>226</v>
      </c>
      <c r="P31" t="s">
        <v>227</v>
      </c>
    </row>
    <row r="32" ht="15.75" customHeight="1">
      <c r="A32">
        <v>30.0</v>
      </c>
      <c r="B32">
        <v>38.0</v>
      </c>
      <c r="C32">
        <v>25.0</v>
      </c>
      <c r="D32">
        <v>3.0</v>
      </c>
      <c r="E32" t="str">
        <f t="shared" si="1"/>
        <v>2.709090909</v>
      </c>
      <c r="F32">
        <v>6.0</v>
      </c>
      <c r="G32">
        <v>11.0</v>
      </c>
      <c r="H32" t="str">
        <f t="shared" si="2"/>
        <v>66</v>
      </c>
      <c r="I32">
        <v>96.0</v>
      </c>
      <c r="J32" t="str">
        <f t="shared" si="3"/>
        <v>304.8</v>
      </c>
      <c r="K32" t="str">
        <f t="shared" si="4"/>
        <v>801.624</v>
      </c>
      <c r="L32" t="str">
        <f t="shared" si="5"/>
        <v>1.214581818</v>
      </c>
      <c r="M32" t="str">
        <f t="shared" si="6"/>
        <v>263</v>
      </c>
      <c r="N32" t="s">
        <v>182</v>
      </c>
      <c r="O32" t="s">
        <v>228</v>
      </c>
      <c r="P32" t="s">
        <v>229</v>
      </c>
    </row>
    <row r="33" ht="15.75" customHeight="1">
      <c r="A33">
        <v>31.0</v>
      </c>
      <c r="B33">
        <v>70.0</v>
      </c>
      <c r="C33">
        <v>148.0</v>
      </c>
      <c r="D33">
        <v>3.0</v>
      </c>
      <c r="E33" t="str">
        <f t="shared" si="1"/>
        <v>4.4</v>
      </c>
      <c r="F33">
        <v>5.0</v>
      </c>
      <c r="G33">
        <v>2.0</v>
      </c>
      <c r="H33" t="str">
        <f t="shared" si="2"/>
        <v>10</v>
      </c>
      <c r="I33">
        <v>96.0</v>
      </c>
      <c r="J33" t="str">
        <f t="shared" si="3"/>
        <v>304.8</v>
      </c>
      <c r="K33" t="str">
        <f t="shared" si="4"/>
        <v>1164.336</v>
      </c>
      <c r="L33" t="str">
        <f t="shared" si="5"/>
        <v>11.64336</v>
      </c>
      <c r="M33" t="str">
        <f t="shared" si="6"/>
        <v>382</v>
      </c>
      <c r="N33" t="s">
        <v>182</v>
      </c>
      <c r="O33" t="s">
        <v>230</v>
      </c>
      <c r="P33" t="s">
        <v>231</v>
      </c>
    </row>
    <row r="34" ht="15.75" customHeight="1">
      <c r="A34">
        <v>32.0</v>
      </c>
      <c r="B34">
        <v>55.0</v>
      </c>
      <c r="C34">
        <v>124.0</v>
      </c>
      <c r="D34">
        <v>3.0</v>
      </c>
      <c r="E34" t="str">
        <f t="shared" si="1"/>
        <v>3</v>
      </c>
      <c r="F34">
        <v>7.0</v>
      </c>
      <c r="G34">
        <v>3.0</v>
      </c>
      <c r="H34" t="str">
        <f t="shared" si="2"/>
        <v>21</v>
      </c>
      <c r="I34">
        <v>120.0</v>
      </c>
      <c r="J34" t="str">
        <f t="shared" si="3"/>
        <v>381</v>
      </c>
      <c r="K34" t="str">
        <f t="shared" si="4"/>
        <v>1611.63</v>
      </c>
      <c r="L34" t="str">
        <f t="shared" si="5"/>
        <v>7.674428571</v>
      </c>
      <c r="M34" t="str">
        <f t="shared" si="6"/>
        <v>423</v>
      </c>
      <c r="N34" t="s">
        <v>182</v>
      </c>
      <c r="O34" t="s">
        <v>232</v>
      </c>
    </row>
    <row r="35" ht="15.75" customHeight="1">
      <c r="A35">
        <v>33.0</v>
      </c>
      <c r="B35">
        <v>50.0</v>
      </c>
      <c r="C35">
        <v>111.0</v>
      </c>
      <c r="D35">
        <v>3.0</v>
      </c>
      <c r="E35" t="str">
        <f t="shared" si="1"/>
        <v>3.3</v>
      </c>
      <c r="F35">
        <v>7.0</v>
      </c>
      <c r="G35">
        <v>3.0</v>
      </c>
      <c r="H35" t="str">
        <f t="shared" si="2"/>
        <v>21</v>
      </c>
      <c r="I35">
        <v>108.0</v>
      </c>
      <c r="J35" t="str">
        <f t="shared" si="3"/>
        <v>342.9</v>
      </c>
      <c r="K35" t="str">
        <f t="shared" si="4"/>
        <v>1330.452</v>
      </c>
      <c r="L35" t="str">
        <f t="shared" si="5"/>
        <v>6.335485714</v>
      </c>
      <c r="M35" t="str">
        <f t="shared" si="6"/>
        <v>388</v>
      </c>
      <c r="N35" t="s">
        <v>182</v>
      </c>
      <c r="O35" t="s">
        <v>233</v>
      </c>
    </row>
    <row r="36" ht="15.75" customHeight="1">
      <c r="A36">
        <v>34.0</v>
      </c>
      <c r="B36">
        <v>150.0</v>
      </c>
      <c r="C36">
        <v>128.0</v>
      </c>
      <c r="D36">
        <v>3.0</v>
      </c>
      <c r="E36" t="str">
        <f t="shared" si="1"/>
        <v>5.35</v>
      </c>
      <c r="F36">
        <v>2.0</v>
      </c>
      <c r="G36">
        <v>3.0</v>
      </c>
      <c r="H36" t="str">
        <f t="shared" si="2"/>
        <v>6</v>
      </c>
      <c r="I36">
        <v>126.0</v>
      </c>
      <c r="J36" t="str">
        <f t="shared" si="3"/>
        <v>400.05</v>
      </c>
      <c r="K36" t="str">
        <f t="shared" si="4"/>
        <v>1292.1615</v>
      </c>
      <c r="L36" t="str">
        <f t="shared" si="5"/>
        <v>21.536025</v>
      </c>
      <c r="M36" t="str">
        <f t="shared" si="6"/>
        <v>323</v>
      </c>
      <c r="N36" t="s">
        <v>187</v>
      </c>
      <c r="O36" t="s">
        <v>234</v>
      </c>
      <c r="P36" t="s">
        <v>235</v>
      </c>
    </row>
    <row r="37" ht="15.75" customHeight="1">
      <c r="A37">
        <v>35.0</v>
      </c>
      <c r="B37">
        <v>140.0</v>
      </c>
      <c r="C37">
        <v>60.0</v>
      </c>
      <c r="D37">
        <v>3.0</v>
      </c>
      <c r="E37" t="str">
        <f t="shared" si="1"/>
        <v>3.5</v>
      </c>
      <c r="F37">
        <v>2.0</v>
      </c>
      <c r="G37">
        <v>6.0</v>
      </c>
      <c r="H37" t="str">
        <f t="shared" si="2"/>
        <v>12</v>
      </c>
      <c r="I37">
        <v>120.0</v>
      </c>
      <c r="J37" t="str">
        <f t="shared" si="3"/>
        <v>381</v>
      </c>
      <c r="K37" t="str">
        <f t="shared" si="4"/>
        <v>1154.43</v>
      </c>
      <c r="L37" t="str">
        <f t="shared" si="5"/>
        <v>9.62025</v>
      </c>
      <c r="M37" t="str">
        <f t="shared" si="6"/>
        <v>303</v>
      </c>
      <c r="N37" t="s">
        <v>187</v>
      </c>
      <c r="O37" t="s">
        <v>236</v>
      </c>
    </row>
    <row r="38" ht="15.75" customHeight="1">
      <c r="A38">
        <v>36.0</v>
      </c>
      <c r="B38">
        <v>55.0</v>
      </c>
      <c r="C38">
        <v>105.0</v>
      </c>
      <c r="D38">
        <v>3.0</v>
      </c>
      <c r="E38" t="str">
        <f t="shared" si="1"/>
        <v>2.95</v>
      </c>
      <c r="F38">
        <v>7.0</v>
      </c>
      <c r="G38">
        <v>3.0</v>
      </c>
      <c r="H38" t="str">
        <f t="shared" si="2"/>
        <v>21</v>
      </c>
      <c r="I38">
        <v>102.0</v>
      </c>
      <c r="J38" t="str">
        <f t="shared" si="3"/>
        <v>323.85</v>
      </c>
      <c r="K38" t="str">
        <f t="shared" si="4"/>
        <v>1369.8855</v>
      </c>
      <c r="L38" t="str">
        <f t="shared" si="5"/>
        <v>6.523264286</v>
      </c>
      <c r="M38" t="str">
        <f t="shared" si="6"/>
        <v>423</v>
      </c>
      <c r="N38" t="s">
        <v>182</v>
      </c>
      <c r="O38" t="s">
        <v>237</v>
      </c>
    </row>
    <row r="39" ht="15.75" customHeight="1">
      <c r="A39">
        <v>37.0</v>
      </c>
      <c r="B39">
        <v>92.75</v>
      </c>
      <c r="C39">
        <v>100.0</v>
      </c>
      <c r="D39">
        <v>3.0</v>
      </c>
      <c r="E39" t="str">
        <f t="shared" si="1"/>
        <v>3.716666667</v>
      </c>
      <c r="F39">
        <v>4.0</v>
      </c>
      <c r="G39">
        <v>3.0</v>
      </c>
      <c r="H39" t="str">
        <f t="shared" si="2"/>
        <v>12</v>
      </c>
      <c r="I39">
        <v>98.0</v>
      </c>
      <c r="J39" t="str">
        <f t="shared" si="3"/>
        <v>311.15</v>
      </c>
      <c r="K39" t="str">
        <f t="shared" si="4"/>
        <v>1244.6</v>
      </c>
      <c r="L39" t="str">
        <f t="shared" si="5"/>
        <v>10.37166667</v>
      </c>
      <c r="M39" t="str">
        <f t="shared" si="6"/>
        <v>400</v>
      </c>
      <c r="N39" t="s">
        <v>182</v>
      </c>
      <c r="O39" t="s">
        <v>238</v>
      </c>
    </row>
    <row r="40" ht="15.75" customHeight="1">
      <c r="A40">
        <v>38.0</v>
      </c>
      <c r="B40">
        <v>100.0</v>
      </c>
      <c r="C40">
        <v>92.75</v>
      </c>
      <c r="D40">
        <v>3.0</v>
      </c>
      <c r="E40" t="str">
        <f t="shared" si="1"/>
        <v>2.5</v>
      </c>
      <c r="F40">
        <v>3.0</v>
      </c>
      <c r="G40">
        <v>4.0</v>
      </c>
      <c r="H40" t="str">
        <f t="shared" si="2"/>
        <v>12</v>
      </c>
      <c r="I40">
        <v>120.0</v>
      </c>
      <c r="J40" t="str">
        <f t="shared" si="3"/>
        <v>381</v>
      </c>
      <c r="K40" t="str">
        <f t="shared" si="4"/>
        <v>1242.06</v>
      </c>
      <c r="L40" t="str">
        <f t="shared" si="5"/>
        <v>10.3505</v>
      </c>
      <c r="M40" t="str">
        <f t="shared" si="6"/>
        <v>326</v>
      </c>
      <c r="N40" t="s">
        <v>182</v>
      </c>
      <c r="O40" t="s">
        <v>239</v>
      </c>
    </row>
    <row r="41" ht="15.75" customHeight="1">
      <c r="A41">
        <v>39.0</v>
      </c>
      <c r="B41">
        <v>65.0</v>
      </c>
      <c r="C41">
        <v>111.0</v>
      </c>
      <c r="D41">
        <v>3.0</v>
      </c>
      <c r="E41" t="str">
        <f t="shared" si="1"/>
        <v>3.3</v>
      </c>
      <c r="F41">
        <v>6.0</v>
      </c>
      <c r="G41">
        <v>3.0</v>
      </c>
      <c r="H41" t="str">
        <f t="shared" si="2"/>
        <v>18</v>
      </c>
      <c r="I41">
        <v>108.0</v>
      </c>
      <c r="J41" t="str">
        <f t="shared" si="3"/>
        <v>342.9</v>
      </c>
      <c r="K41" t="str">
        <f t="shared" si="4"/>
        <v>1457.325</v>
      </c>
      <c r="L41" t="str">
        <f t="shared" si="5"/>
        <v>8.09625</v>
      </c>
      <c r="M41" t="str">
        <f t="shared" si="6"/>
        <v>425</v>
      </c>
      <c r="N41" t="s">
        <v>182</v>
      </c>
      <c r="O41" t="s">
        <v>240</v>
      </c>
      <c r="P41" t="s">
        <v>241</v>
      </c>
    </row>
    <row r="42" ht="15.75" customHeight="1">
      <c r="A42">
        <v>40.0</v>
      </c>
      <c r="B42">
        <v>50.0</v>
      </c>
      <c r="C42">
        <v>25.0</v>
      </c>
      <c r="D42">
        <v>3.0</v>
      </c>
      <c r="E42" t="str">
        <f t="shared" si="1"/>
        <v>2.709090909</v>
      </c>
      <c r="F42">
        <v>7.0</v>
      </c>
      <c r="G42">
        <v>11.0</v>
      </c>
      <c r="H42" t="str">
        <f t="shared" si="2"/>
        <v>77</v>
      </c>
      <c r="I42">
        <v>96.0</v>
      </c>
      <c r="J42" t="str">
        <f t="shared" si="3"/>
        <v>304.8</v>
      </c>
      <c r="K42" t="str">
        <f t="shared" si="4"/>
        <v>1182.624</v>
      </c>
      <c r="L42" t="str">
        <f t="shared" si="5"/>
        <v>1.535875325</v>
      </c>
      <c r="M42" t="str">
        <f t="shared" si="6"/>
        <v>388</v>
      </c>
      <c r="N42" t="s">
        <v>182</v>
      </c>
      <c r="O42" t="s">
        <v>242</v>
      </c>
    </row>
    <row r="43" ht="15.75" customHeight="1">
      <c r="A43">
        <v>41.0</v>
      </c>
      <c r="B43">
        <v>45.0</v>
      </c>
      <c r="C43">
        <v>124.0</v>
      </c>
      <c r="D43">
        <v>3.0</v>
      </c>
      <c r="E43" t="str">
        <f t="shared" si="1"/>
        <v>3</v>
      </c>
      <c r="F43">
        <v>8.0</v>
      </c>
      <c r="G43">
        <v>3.0</v>
      </c>
      <c r="H43" t="str">
        <f t="shared" si="2"/>
        <v>24</v>
      </c>
      <c r="I43">
        <v>120.0</v>
      </c>
      <c r="J43" t="str">
        <f t="shared" si="3"/>
        <v>381</v>
      </c>
      <c r="K43" t="str">
        <f t="shared" si="4"/>
        <v>1527.81</v>
      </c>
      <c r="L43" t="str">
        <f t="shared" si="5"/>
        <v>6.365875</v>
      </c>
      <c r="M43" t="str">
        <f t="shared" si="6"/>
        <v>401</v>
      </c>
      <c r="N43" t="s">
        <v>182</v>
      </c>
      <c r="O43" t="s">
        <v>243</v>
      </c>
    </row>
    <row r="44" ht="15.75" customHeight="1">
      <c r="A44">
        <v>42.0</v>
      </c>
      <c r="B44">
        <v>80.0</v>
      </c>
      <c r="C44">
        <v>48.0</v>
      </c>
      <c r="D44">
        <v>3.0</v>
      </c>
      <c r="E44" t="str">
        <f t="shared" si="1"/>
        <v>2.8</v>
      </c>
      <c r="F44">
        <v>5.0</v>
      </c>
      <c r="G44">
        <v>6.0</v>
      </c>
      <c r="H44" t="str">
        <f t="shared" si="2"/>
        <v>30</v>
      </c>
      <c r="I44">
        <v>96.0</v>
      </c>
      <c r="J44" t="str">
        <f t="shared" si="3"/>
        <v>304.8</v>
      </c>
      <c r="K44" t="str">
        <f t="shared" si="4"/>
        <v>1316.736</v>
      </c>
      <c r="L44" t="str">
        <f t="shared" si="5"/>
        <v>4.38912</v>
      </c>
      <c r="M44" t="str">
        <f t="shared" si="6"/>
        <v>432</v>
      </c>
      <c r="N44" t="s">
        <v>182</v>
      </c>
      <c r="O44" t="s">
        <v>244</v>
      </c>
      <c r="P44" t="s">
        <v>245</v>
      </c>
    </row>
    <row r="45" ht="15.75" customHeight="1">
      <c r="A45">
        <v>43.0</v>
      </c>
      <c r="B45">
        <v>38.0</v>
      </c>
      <c r="C45">
        <v>136.7</v>
      </c>
      <c r="D45">
        <v>3.0</v>
      </c>
      <c r="E45" t="str">
        <f t="shared" si="1"/>
        <v>3</v>
      </c>
      <c r="F45">
        <v>10.0</v>
      </c>
      <c r="G45">
        <v>4.0</v>
      </c>
      <c r="H45" t="str">
        <f t="shared" si="2"/>
        <v>40</v>
      </c>
      <c r="I45">
        <v>176.0</v>
      </c>
      <c r="J45" t="str">
        <f t="shared" si="3"/>
        <v>558.8</v>
      </c>
      <c r="K45" t="str">
        <f t="shared" si="4"/>
        <v>2386.076</v>
      </c>
      <c r="L45" t="str">
        <f t="shared" si="5"/>
        <v>5.96519</v>
      </c>
      <c r="M45" t="str">
        <f t="shared" si="6"/>
        <v>427</v>
      </c>
      <c r="N45" t="s">
        <v>182</v>
      </c>
      <c r="O45" t="s">
        <v>246</v>
      </c>
      <c r="P45" t="s">
        <v>245</v>
      </c>
    </row>
    <row r="46" ht="15.75" customHeight="1">
      <c r="A46">
        <v>44.0</v>
      </c>
      <c r="B46">
        <v>88.0</v>
      </c>
      <c r="C46">
        <v>124.0</v>
      </c>
      <c r="D46">
        <v>3.0</v>
      </c>
      <c r="E46" t="str">
        <f t="shared" si="1"/>
        <v>3</v>
      </c>
      <c r="F46">
        <v>2.0</v>
      </c>
      <c r="G46">
        <v>3.0</v>
      </c>
      <c r="H46" t="str">
        <f t="shared" si="2"/>
        <v>6</v>
      </c>
      <c r="I46">
        <v>120.0</v>
      </c>
      <c r="J46" t="str">
        <f t="shared" si="3"/>
        <v>381</v>
      </c>
      <c r="K46" t="str">
        <f t="shared" si="4"/>
        <v>758.19</v>
      </c>
      <c r="L46" t="str">
        <f t="shared" si="5"/>
        <v>12.6365</v>
      </c>
      <c r="M46" t="str">
        <f t="shared" si="6"/>
        <v>199</v>
      </c>
      <c r="N46" t="s">
        <v>182</v>
      </c>
      <c r="O46" t="s">
        <v>247</v>
      </c>
      <c r="P46" t="s">
        <v>248</v>
      </c>
    </row>
    <row r="47" ht="15.75" customHeight="1">
      <c r="A47">
        <v>45.0</v>
      </c>
      <c r="B47">
        <v>178.0</v>
      </c>
      <c r="C47">
        <v>148.0</v>
      </c>
      <c r="D47">
        <v>3.0</v>
      </c>
      <c r="E47" t="str">
        <f t="shared" si="1"/>
        <v>3.341666667</v>
      </c>
      <c r="F47">
        <v>2.0</v>
      </c>
      <c r="G47">
        <v>3.0</v>
      </c>
      <c r="H47" t="str">
        <f t="shared" si="2"/>
        <v>6</v>
      </c>
      <c r="I47">
        <v>143.0</v>
      </c>
      <c r="J47" t="str">
        <f t="shared" si="3"/>
        <v>454.025</v>
      </c>
      <c r="K47" t="str">
        <f t="shared" si="4"/>
        <v>1720.75475</v>
      </c>
      <c r="L47" t="str">
        <f t="shared" si="5"/>
        <v>28.67924583</v>
      </c>
      <c r="M47" t="str">
        <f t="shared" si="6"/>
        <v>379</v>
      </c>
      <c r="N47" t="s">
        <v>182</v>
      </c>
      <c r="O47" t="s">
        <v>249</v>
      </c>
    </row>
    <row r="48" ht="15.75" customHeight="1">
      <c r="A48">
        <v>46.0</v>
      </c>
      <c r="B48">
        <v>50.0</v>
      </c>
      <c r="C48">
        <v>90.0</v>
      </c>
      <c r="D48">
        <v>3.0</v>
      </c>
      <c r="E48" t="str">
        <f t="shared" si="1"/>
        <v>3.133333333</v>
      </c>
      <c r="F48">
        <v>7.0</v>
      </c>
      <c r="G48">
        <v>6.0</v>
      </c>
      <c r="H48" t="str">
        <f t="shared" si="2"/>
        <v>42</v>
      </c>
      <c r="I48">
        <v>176.0</v>
      </c>
      <c r="J48" t="str">
        <f t="shared" si="3"/>
        <v>558.8</v>
      </c>
      <c r="K48" t="str">
        <f t="shared" si="4"/>
        <v>2168.144</v>
      </c>
      <c r="L48" t="str">
        <f t="shared" si="5"/>
        <v>5.162247619</v>
      </c>
      <c r="M48" t="str">
        <f t="shared" si="6"/>
        <v>388</v>
      </c>
      <c r="N48" t="s">
        <v>182</v>
      </c>
      <c r="O48" t="s">
        <v>250</v>
      </c>
    </row>
    <row r="49" ht="15.75" customHeight="1">
      <c r="A49">
        <v>47.0</v>
      </c>
      <c r="B49">
        <v>255.0</v>
      </c>
      <c r="C49">
        <v>136.0</v>
      </c>
      <c r="D49">
        <v>3.0</v>
      </c>
      <c r="E49" t="str">
        <f t="shared" si="1"/>
        <v>3.7</v>
      </c>
      <c r="F49">
        <v>1.0</v>
      </c>
      <c r="G49">
        <v>4.0</v>
      </c>
      <c r="H49" t="str">
        <f t="shared" si="2"/>
        <v>4</v>
      </c>
      <c r="I49">
        <v>176.0</v>
      </c>
      <c r="J49" t="str">
        <f t="shared" si="3"/>
        <v>558.8</v>
      </c>
      <c r="K49" t="str">
        <f t="shared" si="4"/>
        <v>1536.7</v>
      </c>
      <c r="L49" t="str">
        <f t="shared" si="5"/>
        <v>38.4175</v>
      </c>
      <c r="M49" t="str">
        <f t="shared" si="6"/>
        <v>275</v>
      </c>
      <c r="N49" t="s">
        <v>187</v>
      </c>
      <c r="O49" t="s">
        <v>251</v>
      </c>
      <c r="P49" t="s">
        <v>252</v>
      </c>
    </row>
    <row r="50" ht="15.75" customHeight="1">
      <c r="A50">
        <v>48.0</v>
      </c>
      <c r="B50">
        <v>209.0</v>
      </c>
      <c r="C50">
        <v>137.0</v>
      </c>
      <c r="D50">
        <v>3.0</v>
      </c>
      <c r="E50" t="str">
        <f t="shared" si="1"/>
        <v>2.7</v>
      </c>
      <c r="F50">
        <v>1.0</v>
      </c>
      <c r="G50">
        <v>4.0</v>
      </c>
      <c r="H50" t="str">
        <f t="shared" si="2"/>
        <v>4</v>
      </c>
      <c r="I50">
        <v>176.0</v>
      </c>
      <c r="J50" t="str">
        <f t="shared" si="3"/>
        <v>558.8</v>
      </c>
      <c r="K50" t="str">
        <f t="shared" si="4"/>
        <v>1279.652</v>
      </c>
      <c r="L50" t="str">
        <f t="shared" si="5"/>
        <v>31.9913</v>
      </c>
      <c r="M50" t="str">
        <f t="shared" si="6"/>
        <v>229</v>
      </c>
      <c r="N50" t="s">
        <v>187</v>
      </c>
      <c r="O50" t="s">
        <v>253</v>
      </c>
      <c r="P50" t="s">
        <v>254</v>
      </c>
    </row>
    <row r="51" ht="15.75" customHeight="1">
      <c r="A51">
        <v>49.0</v>
      </c>
      <c r="B51">
        <v>152.0</v>
      </c>
      <c r="C51">
        <v>223.0</v>
      </c>
      <c r="D51">
        <v>3.0</v>
      </c>
      <c r="E51" t="str">
        <f t="shared" si="1"/>
        <v>4.0125</v>
      </c>
      <c r="F51">
        <v>2.0</v>
      </c>
      <c r="G51">
        <v>2.0</v>
      </c>
      <c r="H51" t="str">
        <f t="shared" si="2"/>
        <v>4</v>
      </c>
      <c r="I51">
        <v>143.0</v>
      </c>
      <c r="J51" t="str">
        <f t="shared" si="3"/>
        <v>454.025</v>
      </c>
      <c r="K51" t="str">
        <f t="shared" si="4"/>
        <v>1484.66175</v>
      </c>
      <c r="L51" t="str">
        <f t="shared" si="5"/>
        <v>37.11654375</v>
      </c>
      <c r="M51" t="str">
        <f t="shared" si="6"/>
        <v>327</v>
      </c>
      <c r="N51" t="s">
        <v>187</v>
      </c>
      <c r="O51" t="s">
        <v>255</v>
      </c>
    </row>
    <row r="52" ht="15.75" customHeight="1">
      <c r="A52">
        <v>50.0</v>
      </c>
      <c r="B52">
        <v>38.0</v>
      </c>
      <c r="C52">
        <v>130.0</v>
      </c>
      <c r="D52">
        <v>3.0</v>
      </c>
      <c r="E52" t="str">
        <f t="shared" si="1"/>
        <v>3.35</v>
      </c>
      <c r="F52">
        <v>10.0</v>
      </c>
      <c r="G52">
        <v>3.0</v>
      </c>
      <c r="H52" t="str">
        <f t="shared" si="2"/>
        <v>30</v>
      </c>
      <c r="I52">
        <v>126.0</v>
      </c>
      <c r="J52" t="str">
        <f t="shared" si="3"/>
        <v>400.05</v>
      </c>
      <c r="K52" t="str">
        <f t="shared" si="4"/>
        <v>1708.2135</v>
      </c>
      <c r="L52" t="str">
        <f t="shared" si="5"/>
        <v>5.694045</v>
      </c>
      <c r="M52" t="str">
        <f t="shared" si="6"/>
        <v>427</v>
      </c>
      <c r="N52" t="s">
        <v>182</v>
      </c>
      <c r="O52" t="s">
        <v>256</v>
      </c>
    </row>
    <row r="53" ht="15.75" customHeight="1">
      <c r="A53">
        <v>51.0</v>
      </c>
      <c r="B53">
        <v>55.0</v>
      </c>
      <c r="C53">
        <v>180.0</v>
      </c>
      <c r="D53">
        <v>3.0</v>
      </c>
      <c r="E53" t="str">
        <f t="shared" si="1"/>
        <v>6.266666667</v>
      </c>
      <c r="F53">
        <v>7.0</v>
      </c>
      <c r="G53">
        <v>3.0</v>
      </c>
      <c r="H53" t="str">
        <f t="shared" si="2"/>
        <v>21</v>
      </c>
      <c r="I53">
        <v>176.0</v>
      </c>
      <c r="J53" t="str">
        <f t="shared" si="3"/>
        <v>558.8</v>
      </c>
      <c r="K53" t="str">
        <f t="shared" si="4"/>
        <v>2363.724</v>
      </c>
      <c r="L53" t="str">
        <f t="shared" si="5"/>
        <v>11.25582857</v>
      </c>
      <c r="M53" t="str">
        <f t="shared" si="6"/>
        <v>423</v>
      </c>
      <c r="N53" t="s">
        <v>182</v>
      </c>
      <c r="O53" t="s">
        <v>257</v>
      </c>
      <c r="P53" t="s">
        <v>258</v>
      </c>
    </row>
    <row r="54" ht="15.75" customHeight="1">
      <c r="A54">
        <v>52.0</v>
      </c>
      <c r="B54">
        <v>90.0</v>
      </c>
      <c r="C54">
        <v>159.0</v>
      </c>
      <c r="D54">
        <v>3.0</v>
      </c>
      <c r="E54" t="str">
        <f t="shared" si="1"/>
        <v>2.925</v>
      </c>
      <c r="F54">
        <v>4.0</v>
      </c>
      <c r="G54">
        <v>2.0</v>
      </c>
      <c r="H54" t="str">
        <f t="shared" si="2"/>
        <v>8</v>
      </c>
      <c r="I54">
        <v>102.0</v>
      </c>
      <c r="J54" t="str">
        <f t="shared" si="3"/>
        <v>323.85</v>
      </c>
      <c r="K54" t="str">
        <f t="shared" si="4"/>
        <v>1259.7765</v>
      </c>
      <c r="L54" t="str">
        <f t="shared" si="5"/>
        <v>15.74720625</v>
      </c>
      <c r="M54" t="str">
        <f t="shared" si="6"/>
        <v>389</v>
      </c>
      <c r="N54" t="s">
        <v>182</v>
      </c>
      <c r="O54" t="s">
        <v>259</v>
      </c>
      <c r="P54" t="s">
        <v>258</v>
      </c>
    </row>
    <row r="55" ht="15.75" customHeight="1">
      <c r="A55">
        <v>53.0</v>
      </c>
      <c r="B55">
        <v>40.0</v>
      </c>
      <c r="C55">
        <v>150.0</v>
      </c>
      <c r="D55">
        <v>3.0</v>
      </c>
      <c r="E55" t="str">
        <f t="shared" si="1"/>
        <v>2.4</v>
      </c>
      <c r="F55">
        <v>8.0</v>
      </c>
      <c r="G55">
        <v>2.0</v>
      </c>
      <c r="H55" t="str">
        <f t="shared" si="2"/>
        <v>16</v>
      </c>
      <c r="I55">
        <v>96.0</v>
      </c>
      <c r="J55" t="str">
        <f t="shared" si="3"/>
        <v>304.8</v>
      </c>
      <c r="K55" t="str">
        <f t="shared" si="4"/>
        <v>1100.328</v>
      </c>
      <c r="L55" t="str">
        <f t="shared" si="5"/>
        <v>6.87705</v>
      </c>
      <c r="M55" t="str">
        <f t="shared" si="6"/>
        <v>361</v>
      </c>
      <c r="N55" t="s">
        <v>182</v>
      </c>
      <c r="O55" t="s">
        <v>260</v>
      </c>
      <c r="P55" t="s">
        <v>258</v>
      </c>
    </row>
    <row r="56" ht="15.75" customHeight="1">
      <c r="A56">
        <v>54.0</v>
      </c>
      <c r="B56">
        <v>50.0</v>
      </c>
      <c r="C56">
        <v>187.0</v>
      </c>
      <c r="D56">
        <v>3.0</v>
      </c>
      <c r="E56" t="str">
        <f t="shared" si="1"/>
        <v>3.5</v>
      </c>
      <c r="F56">
        <v>7.0</v>
      </c>
      <c r="G56">
        <v>2.0</v>
      </c>
      <c r="H56" t="str">
        <f t="shared" si="2"/>
        <v>14</v>
      </c>
      <c r="I56">
        <v>120.0</v>
      </c>
      <c r="J56" t="str">
        <f t="shared" si="3"/>
        <v>381</v>
      </c>
      <c r="K56" t="str">
        <f t="shared" si="4"/>
        <v>1478.28</v>
      </c>
      <c r="L56" t="str">
        <f t="shared" si="5"/>
        <v>10.55914286</v>
      </c>
      <c r="M56" t="str">
        <f t="shared" si="6"/>
        <v>388</v>
      </c>
      <c r="N56" t="s">
        <v>182</v>
      </c>
      <c r="O56" t="s">
        <v>261</v>
      </c>
    </row>
    <row r="57" ht="15.75" customHeight="1">
      <c r="A57">
        <v>55.0</v>
      </c>
      <c r="B57">
        <v>142.0</v>
      </c>
      <c r="C57">
        <v>60.0</v>
      </c>
      <c r="D57">
        <v>3.0</v>
      </c>
      <c r="E57" t="str">
        <f t="shared" si="1"/>
        <v>3.5</v>
      </c>
      <c r="F57">
        <v>2.0</v>
      </c>
      <c r="G57">
        <v>6.0</v>
      </c>
      <c r="H57" t="str">
        <f t="shared" si="2"/>
        <v>12</v>
      </c>
      <c r="I57">
        <v>120.0</v>
      </c>
      <c r="J57" t="str">
        <f t="shared" si="3"/>
        <v>381</v>
      </c>
      <c r="K57" t="str">
        <f t="shared" si="4"/>
        <v>1169.67</v>
      </c>
      <c r="L57" t="str">
        <f t="shared" si="5"/>
        <v>9.74725</v>
      </c>
      <c r="M57" t="str">
        <f t="shared" si="6"/>
        <v>307</v>
      </c>
      <c r="N57" t="s">
        <v>187</v>
      </c>
      <c r="O57" t="s">
        <v>262</v>
      </c>
      <c r="P57" t="s">
        <v>263</v>
      </c>
    </row>
    <row r="58" ht="15.75" customHeight="1">
      <c r="A58">
        <v>56.0</v>
      </c>
      <c r="B58">
        <v>106.0</v>
      </c>
      <c r="C58">
        <v>63.0</v>
      </c>
      <c r="D58">
        <v>3.0</v>
      </c>
      <c r="E58" t="str">
        <f t="shared" si="1"/>
        <v>3.675</v>
      </c>
      <c r="F58">
        <v>2.0</v>
      </c>
      <c r="G58">
        <v>5.0</v>
      </c>
      <c r="H58" t="str">
        <f t="shared" si="2"/>
        <v>10</v>
      </c>
      <c r="I58">
        <v>105.0</v>
      </c>
      <c r="J58" t="str">
        <f t="shared" si="3"/>
        <v>333.375</v>
      </c>
      <c r="K58" t="str">
        <f t="shared" si="4"/>
        <v>783.43125</v>
      </c>
      <c r="L58" t="str">
        <f t="shared" si="5"/>
        <v>7.8343125</v>
      </c>
      <c r="M58" t="str">
        <f t="shared" si="6"/>
        <v>235</v>
      </c>
      <c r="N58" t="s">
        <v>182</v>
      </c>
      <c r="O58" t="s">
        <v>264</v>
      </c>
      <c r="P58" t="s">
        <v>265</v>
      </c>
    </row>
    <row r="59" ht="15.75" customHeight="1">
      <c r="A59">
        <v>57.0</v>
      </c>
      <c r="B59">
        <v>24.0</v>
      </c>
      <c r="C59">
        <v>14.0</v>
      </c>
      <c r="D59">
        <v>3.0</v>
      </c>
      <c r="E59" t="str">
        <f t="shared" si="1"/>
        <v>2.933333333</v>
      </c>
      <c r="F59">
        <v>9.0</v>
      </c>
      <c r="G59">
        <v>18.0</v>
      </c>
      <c r="H59" t="str">
        <f t="shared" si="2"/>
        <v>162</v>
      </c>
      <c r="I59">
        <v>96.0</v>
      </c>
      <c r="J59" t="str">
        <f t="shared" si="3"/>
        <v>304.8</v>
      </c>
      <c r="K59" t="str">
        <f t="shared" si="4"/>
        <v>792.48</v>
      </c>
      <c r="L59" t="str">
        <f t="shared" si="5"/>
        <v>0.4891851852</v>
      </c>
      <c r="M59" t="str">
        <f t="shared" si="6"/>
        <v>260</v>
      </c>
      <c r="N59" t="s">
        <v>182</v>
      </c>
      <c r="O59" t="s">
        <v>266</v>
      </c>
      <c r="P59" t="s">
        <v>267</v>
      </c>
    </row>
    <row r="60" ht="15.75" customHeight="1">
      <c r="A60">
        <v>58.0</v>
      </c>
      <c r="B60">
        <v>147.0</v>
      </c>
      <c r="C60">
        <v>50.0</v>
      </c>
      <c r="D60">
        <v>3.0</v>
      </c>
      <c r="E60" t="str">
        <f t="shared" si="1"/>
        <v>3.578125</v>
      </c>
      <c r="F60">
        <v>2.0</v>
      </c>
      <c r="G60">
        <v>8.0</v>
      </c>
      <c r="H60" t="str">
        <f t="shared" si="2"/>
        <v>16</v>
      </c>
      <c r="I60">
        <v>135.0</v>
      </c>
      <c r="J60" t="str">
        <f t="shared" si="3"/>
        <v>428.625</v>
      </c>
      <c r="K60" t="str">
        <f t="shared" si="4"/>
        <v>1358.74125</v>
      </c>
      <c r="L60" t="str">
        <f t="shared" si="5"/>
        <v>8.492132813</v>
      </c>
      <c r="M60" t="str">
        <f t="shared" si="6"/>
        <v>317</v>
      </c>
      <c r="N60" t="s">
        <v>187</v>
      </c>
      <c r="O60" t="s">
        <v>268</v>
      </c>
      <c r="P60" t="s">
        <v>269</v>
      </c>
    </row>
    <row r="61" ht="15.75" customHeight="1">
      <c r="A61">
        <v>59.0</v>
      </c>
      <c r="B61">
        <v>70.5</v>
      </c>
      <c r="C61">
        <v>35.4</v>
      </c>
      <c r="D61">
        <v>3.0</v>
      </c>
      <c r="E61" t="str">
        <f t="shared" si="1"/>
        <v>2.7</v>
      </c>
      <c r="F61">
        <v>5.0</v>
      </c>
      <c r="G61">
        <v>8.0</v>
      </c>
      <c r="H61" t="str">
        <f t="shared" si="2"/>
        <v>40</v>
      </c>
      <c r="I61">
        <v>96.0</v>
      </c>
      <c r="J61" t="str">
        <f t="shared" si="3"/>
        <v>304.8</v>
      </c>
      <c r="K61" t="str">
        <f t="shared" si="4"/>
        <v>1171.956</v>
      </c>
      <c r="L61" t="str">
        <f t="shared" si="5"/>
        <v>2.92989</v>
      </c>
      <c r="M61" t="str">
        <f t="shared" si="6"/>
        <v>384.5</v>
      </c>
      <c r="N61" t="s">
        <v>187</v>
      </c>
      <c r="O61" t="s">
        <v>270</v>
      </c>
      <c r="P61" t="s">
        <v>271</v>
      </c>
    </row>
    <row r="62" ht="15.75" customHeight="1">
      <c r="A62">
        <v>60.0</v>
      </c>
      <c r="B62">
        <v>78.0</v>
      </c>
      <c r="C62">
        <v>101.0</v>
      </c>
      <c r="D62">
        <v>3.0</v>
      </c>
      <c r="E62" t="str">
        <f t="shared" si="1"/>
        <v>2.716666667</v>
      </c>
      <c r="F62">
        <v>4.0</v>
      </c>
      <c r="G62">
        <v>3.0</v>
      </c>
      <c r="H62" t="str">
        <f t="shared" si="2"/>
        <v>12</v>
      </c>
      <c r="I62">
        <v>98.0</v>
      </c>
      <c r="J62" t="str">
        <f t="shared" si="3"/>
        <v>311.15</v>
      </c>
      <c r="K62" t="str">
        <f t="shared" si="4"/>
        <v>1061.0215</v>
      </c>
      <c r="L62" t="str">
        <f t="shared" si="5"/>
        <v>8.841845833</v>
      </c>
      <c r="M62" t="str">
        <f t="shared" si="6"/>
        <v>341</v>
      </c>
      <c r="N62" t="s">
        <v>182</v>
      </c>
      <c r="O62" t="s">
        <v>272</v>
      </c>
    </row>
    <row r="63" ht="15.75" customHeight="1">
      <c r="A63">
        <v>61.0</v>
      </c>
      <c r="B63">
        <v>20.0</v>
      </c>
      <c r="C63">
        <v>50.0</v>
      </c>
      <c r="D63">
        <v>3.0</v>
      </c>
      <c r="E63" t="str">
        <f t="shared" si="1"/>
        <v>3.578125</v>
      </c>
      <c r="F63">
        <v>18.0</v>
      </c>
      <c r="G63">
        <v>8.0</v>
      </c>
      <c r="H63" t="str">
        <f t="shared" si="2"/>
        <v>144</v>
      </c>
      <c r="I63">
        <v>135.0</v>
      </c>
      <c r="J63" t="str">
        <f t="shared" si="3"/>
        <v>428.625</v>
      </c>
      <c r="K63" t="str">
        <f t="shared" si="4"/>
        <v>1847.37375</v>
      </c>
      <c r="L63" t="str">
        <f t="shared" si="5"/>
        <v>1.282898438</v>
      </c>
      <c r="M63" t="str">
        <f t="shared" si="6"/>
        <v>431</v>
      </c>
      <c r="N63" t="s">
        <v>182</v>
      </c>
      <c r="O63" t="s">
        <v>273</v>
      </c>
    </row>
    <row r="64" ht="15.75" customHeight="1">
      <c r="A64">
        <v>62.0</v>
      </c>
      <c r="B64">
        <v>92.0</v>
      </c>
      <c r="C64">
        <v>124.0</v>
      </c>
      <c r="D64">
        <v>3.0</v>
      </c>
      <c r="E64" t="str">
        <f t="shared" si="1"/>
        <v>3</v>
      </c>
      <c r="F64">
        <v>4.0</v>
      </c>
      <c r="G64">
        <v>3.0</v>
      </c>
      <c r="H64" t="str">
        <f t="shared" si="2"/>
        <v>12</v>
      </c>
      <c r="I64">
        <v>120.0</v>
      </c>
      <c r="J64" t="str">
        <f t="shared" si="3"/>
        <v>381</v>
      </c>
      <c r="K64" t="str">
        <f t="shared" si="4"/>
        <v>1512.57</v>
      </c>
      <c r="L64" t="str">
        <f t="shared" si="5"/>
        <v>12.60475</v>
      </c>
      <c r="M64" t="str">
        <f t="shared" si="6"/>
        <v>397</v>
      </c>
      <c r="N64" t="s">
        <v>182</v>
      </c>
      <c r="O64" t="s">
        <v>274</v>
      </c>
    </row>
    <row r="65" ht="15.75" customHeight="1">
      <c r="A65">
        <v>63.0</v>
      </c>
      <c r="B65">
        <v>150.0</v>
      </c>
      <c r="C65">
        <v>276.0</v>
      </c>
      <c r="D65">
        <v>3.0</v>
      </c>
      <c r="E65" t="str">
        <f t="shared" si="1"/>
        <v>3.4</v>
      </c>
      <c r="F65">
        <v>2.0</v>
      </c>
      <c r="G65">
        <v>2.0</v>
      </c>
      <c r="H65" t="str">
        <f t="shared" si="2"/>
        <v>4</v>
      </c>
      <c r="I65">
        <v>176.0</v>
      </c>
      <c r="J65" t="str">
        <f t="shared" si="3"/>
        <v>558.8</v>
      </c>
      <c r="K65" t="str">
        <f t="shared" si="4"/>
        <v>1804.924</v>
      </c>
      <c r="L65" t="str">
        <f t="shared" si="5"/>
        <v>45.1231</v>
      </c>
      <c r="M65" t="str">
        <f t="shared" si="6"/>
        <v>323</v>
      </c>
      <c r="N65" t="s">
        <v>187</v>
      </c>
      <c r="O65" t="s">
        <v>275</v>
      </c>
    </row>
    <row r="66" ht="15.75" customHeight="1">
      <c r="A66">
        <v>64.0</v>
      </c>
      <c r="B66">
        <v>100.0</v>
      </c>
      <c r="C66">
        <v>60.0</v>
      </c>
      <c r="D66">
        <v>3.0</v>
      </c>
      <c r="E66" t="str">
        <f t="shared" si="1"/>
        <v>3.5</v>
      </c>
      <c r="F66">
        <v>4.0</v>
      </c>
      <c r="G66">
        <v>6.0</v>
      </c>
      <c r="H66" t="str">
        <f t="shared" si="2"/>
        <v>24</v>
      </c>
      <c r="I66">
        <v>120.0</v>
      </c>
      <c r="J66" t="str">
        <f t="shared" si="3"/>
        <v>381</v>
      </c>
      <c r="K66" t="str">
        <f t="shared" si="4"/>
        <v>1634.49</v>
      </c>
      <c r="L66" t="str">
        <f t="shared" si="5"/>
        <v>6.810375</v>
      </c>
      <c r="M66" t="str">
        <f t="shared" si="6"/>
        <v>429</v>
      </c>
      <c r="N66" t="s">
        <v>182</v>
      </c>
      <c r="O66" t="s">
        <v>276</v>
      </c>
    </row>
    <row r="67" ht="15.75" customHeight="1">
      <c r="A67">
        <v>65.0</v>
      </c>
      <c r="B67">
        <v>25.0</v>
      </c>
      <c r="C67">
        <v>555.0</v>
      </c>
      <c r="D67">
        <v>3.0</v>
      </c>
      <c r="E67" t="str">
        <f t="shared" si="1"/>
        <v>3.8</v>
      </c>
      <c r="F67">
        <v>13.0</v>
      </c>
      <c r="G67">
        <v>1.0</v>
      </c>
      <c r="H67" t="str">
        <f t="shared" si="2"/>
        <v>13</v>
      </c>
      <c r="I67">
        <v>176.0</v>
      </c>
      <c r="J67" t="str">
        <f t="shared" si="3"/>
        <v>558.8</v>
      </c>
      <c r="K67" t="str">
        <f t="shared" si="4"/>
        <v>2129.028</v>
      </c>
      <c r="L67" t="str">
        <f t="shared" si="5"/>
        <v>16.37713846</v>
      </c>
      <c r="M67" t="str">
        <f t="shared" si="6"/>
        <v>381</v>
      </c>
      <c r="N67" t="s">
        <v>187</v>
      </c>
      <c r="O67" t="s">
        <v>277</v>
      </c>
    </row>
    <row r="68" ht="15.75" customHeight="1">
      <c r="A68">
        <v>66.0</v>
      </c>
      <c r="B68">
        <v>70.0</v>
      </c>
      <c r="C68">
        <v>31.0</v>
      </c>
      <c r="D68">
        <v>3.0</v>
      </c>
      <c r="E68" t="str">
        <f t="shared" si="1"/>
        <v>2.866666667</v>
      </c>
      <c r="F68">
        <v>5.0</v>
      </c>
      <c r="G68">
        <v>9.0</v>
      </c>
      <c r="H68" t="str">
        <f t="shared" si="2"/>
        <v>45</v>
      </c>
      <c r="I68">
        <v>96.0</v>
      </c>
      <c r="J68" t="str">
        <f t="shared" si="3"/>
        <v>304.8</v>
      </c>
      <c r="K68" t="str">
        <f t="shared" si="4"/>
        <v>1164.336</v>
      </c>
      <c r="L68" t="str">
        <f t="shared" si="5"/>
        <v>2.587413333</v>
      </c>
      <c r="M68" t="str">
        <f t="shared" si="6"/>
        <v>382</v>
      </c>
      <c r="N68" t="s">
        <v>187</v>
      </c>
      <c r="O68" t="s">
        <v>278</v>
      </c>
      <c r="P68" t="s">
        <v>279</v>
      </c>
    </row>
    <row r="69" ht="15.75" customHeight="1">
      <c r="A69">
        <v>67.0</v>
      </c>
      <c r="B69">
        <v>67.0</v>
      </c>
      <c r="C69">
        <v>100.0</v>
      </c>
      <c r="D69">
        <v>3.0</v>
      </c>
      <c r="E69" t="str">
        <f t="shared" si="1"/>
        <v>3.716666667</v>
      </c>
      <c r="F69">
        <v>3.0</v>
      </c>
      <c r="G69">
        <v>3.0</v>
      </c>
      <c r="H69" t="str">
        <f t="shared" si="2"/>
        <v>9</v>
      </c>
      <c r="I69">
        <v>98.0</v>
      </c>
      <c r="J69" t="str">
        <f t="shared" si="3"/>
        <v>311.15</v>
      </c>
      <c r="K69" t="str">
        <f t="shared" si="4"/>
        <v>706.3105</v>
      </c>
      <c r="L69" t="str">
        <f t="shared" si="5"/>
        <v>7.847894444</v>
      </c>
      <c r="M69" t="str">
        <f t="shared" si="6"/>
        <v>227</v>
      </c>
      <c r="N69" t="s">
        <v>187</v>
      </c>
      <c r="O69" t="s">
        <v>280</v>
      </c>
      <c r="P69" t="s">
        <v>281</v>
      </c>
    </row>
    <row r="70" ht="15.75" customHeight="1">
      <c r="A70">
        <v>68.0</v>
      </c>
      <c r="B70">
        <v>30.0</v>
      </c>
      <c r="C70">
        <v>100.0</v>
      </c>
      <c r="D70">
        <v>3.0</v>
      </c>
      <c r="E70" t="str">
        <f t="shared" si="1"/>
        <v>3.716666667</v>
      </c>
      <c r="F70">
        <v>8.0</v>
      </c>
      <c r="G70">
        <v>3.0</v>
      </c>
      <c r="H70" t="str">
        <f t="shared" si="2"/>
        <v>24</v>
      </c>
      <c r="I70">
        <v>98.0</v>
      </c>
      <c r="J70" t="str">
        <f t="shared" si="3"/>
        <v>311.15</v>
      </c>
      <c r="K70" t="str">
        <f t="shared" si="4"/>
        <v>874.3315</v>
      </c>
      <c r="L70" t="str">
        <f t="shared" si="5"/>
        <v>3.643047917</v>
      </c>
      <c r="M70" t="str">
        <f t="shared" si="6"/>
        <v>281</v>
      </c>
      <c r="N70" t="s">
        <v>182</v>
      </c>
      <c r="O70" t="s">
        <v>282</v>
      </c>
    </row>
    <row r="71" ht="15.75" customHeight="1">
      <c r="A71">
        <v>69.0</v>
      </c>
      <c r="B71">
        <v>62.0</v>
      </c>
      <c r="C71">
        <v>82.0</v>
      </c>
      <c r="D71">
        <v>3.0</v>
      </c>
      <c r="E71" t="str">
        <f t="shared" si="1"/>
        <v>3.725</v>
      </c>
      <c r="F71">
        <v>6.0</v>
      </c>
      <c r="G71">
        <v>4.0</v>
      </c>
      <c r="H71" t="str">
        <f t="shared" si="2"/>
        <v>24</v>
      </c>
      <c r="I71">
        <v>108.0</v>
      </c>
      <c r="J71" t="str">
        <f t="shared" si="3"/>
        <v>342.9</v>
      </c>
      <c r="K71" t="str">
        <f t="shared" si="4"/>
        <v>1395.603</v>
      </c>
      <c r="L71" t="str">
        <f t="shared" si="5"/>
        <v>5.8150125</v>
      </c>
      <c r="M71" t="str">
        <f t="shared" si="6"/>
        <v>407</v>
      </c>
      <c r="N71" t="s">
        <v>182</v>
      </c>
      <c r="O71" t="s">
        <v>283</v>
      </c>
    </row>
    <row r="72" ht="15.75" customHeight="1">
      <c r="A72">
        <v>70.0</v>
      </c>
      <c r="B72">
        <v>51.5</v>
      </c>
      <c r="C72">
        <v>73.0</v>
      </c>
      <c r="D72">
        <v>3.0</v>
      </c>
      <c r="E72" t="str">
        <f t="shared" si="1"/>
        <v>3.2</v>
      </c>
      <c r="F72">
        <v>7.0</v>
      </c>
      <c r="G72">
        <v>4.0</v>
      </c>
      <c r="H72" t="str">
        <f t="shared" si="2"/>
        <v>28</v>
      </c>
      <c r="I72">
        <v>96.0</v>
      </c>
      <c r="J72" t="str">
        <f t="shared" si="3"/>
        <v>304.8</v>
      </c>
      <c r="K72" t="str">
        <f t="shared" si="4"/>
        <v>1214.628</v>
      </c>
      <c r="L72" t="str">
        <f t="shared" si="5"/>
        <v>4.337957143</v>
      </c>
      <c r="M72" t="str">
        <f t="shared" si="6"/>
        <v>398.5</v>
      </c>
      <c r="N72" t="s">
        <v>182</v>
      </c>
      <c r="O72" t="s">
        <v>284</v>
      </c>
    </row>
    <row r="73" ht="15.75" customHeight="1">
      <c r="A73">
        <v>71.0</v>
      </c>
      <c r="B73">
        <v>121.0</v>
      </c>
      <c r="C73">
        <v>104.0</v>
      </c>
      <c r="D73">
        <v>3.0</v>
      </c>
      <c r="E73" t="str">
        <f t="shared" si="1"/>
        <v>3.15625</v>
      </c>
      <c r="F73">
        <v>2.0</v>
      </c>
      <c r="G73">
        <v>4.0</v>
      </c>
      <c r="H73" t="str">
        <f t="shared" si="2"/>
        <v>8</v>
      </c>
      <c r="I73">
        <v>135.0</v>
      </c>
      <c r="J73" t="str">
        <f t="shared" si="3"/>
        <v>428.625</v>
      </c>
      <c r="K73" t="str">
        <f t="shared" si="4"/>
        <v>1135.85625</v>
      </c>
      <c r="L73" t="str">
        <f t="shared" si="5"/>
        <v>14.19820313</v>
      </c>
      <c r="M73" t="str">
        <f t="shared" si="6"/>
        <v>265</v>
      </c>
      <c r="N73" t="s">
        <v>182</v>
      </c>
      <c r="O73" t="s">
        <v>285</v>
      </c>
      <c r="P73" t="s">
        <v>286</v>
      </c>
    </row>
    <row r="74" ht="15.75" customHeight="1">
      <c r="A74">
        <v>72.0</v>
      </c>
      <c r="B74">
        <v>40.0</v>
      </c>
      <c r="C74">
        <v>40.0</v>
      </c>
      <c r="D74">
        <v>3.0</v>
      </c>
      <c r="E74" t="str">
        <f t="shared" si="1"/>
        <v>3.542857143</v>
      </c>
      <c r="F74">
        <v>8.0</v>
      </c>
      <c r="G74">
        <v>7.0</v>
      </c>
      <c r="H74" t="str">
        <f t="shared" si="2"/>
        <v>56</v>
      </c>
      <c r="I74">
        <v>96.0</v>
      </c>
      <c r="J74" t="str">
        <f t="shared" si="3"/>
        <v>304.8</v>
      </c>
      <c r="K74" t="str">
        <f t="shared" si="4"/>
        <v>1100.328</v>
      </c>
      <c r="L74" t="str">
        <f t="shared" si="5"/>
        <v>1.964871429</v>
      </c>
      <c r="M74" t="str">
        <f t="shared" si="6"/>
        <v>361</v>
      </c>
      <c r="N74" t="s">
        <v>182</v>
      </c>
      <c r="O74" t="s">
        <v>287</v>
      </c>
    </row>
    <row r="75" ht="15.75" customHeight="1">
      <c r="A75">
        <v>73.0</v>
      </c>
      <c r="B75">
        <v>125.0</v>
      </c>
      <c r="C75">
        <v>54.0</v>
      </c>
      <c r="D75">
        <v>3.0</v>
      </c>
      <c r="E75" t="str">
        <f t="shared" si="1"/>
        <v>3.15</v>
      </c>
      <c r="F75">
        <v>3.0</v>
      </c>
      <c r="G75">
        <v>6.0</v>
      </c>
      <c r="H75" t="str">
        <f t="shared" si="2"/>
        <v>18</v>
      </c>
      <c r="I75">
        <v>108.0</v>
      </c>
      <c r="J75" t="str">
        <f t="shared" si="3"/>
        <v>342.9</v>
      </c>
      <c r="K75" t="str">
        <f t="shared" si="4"/>
        <v>1375.029</v>
      </c>
      <c r="L75" t="str">
        <f t="shared" si="5"/>
        <v>7.63905</v>
      </c>
      <c r="M75" t="str">
        <f t="shared" si="6"/>
        <v>401</v>
      </c>
      <c r="N75" t="s">
        <v>187</v>
      </c>
      <c r="O75" t="s">
        <v>288</v>
      </c>
      <c r="P75" t="s">
        <v>289</v>
      </c>
    </row>
    <row r="76" ht="15.75" customHeight="1">
      <c r="A76">
        <v>74.0</v>
      </c>
      <c r="B76">
        <v>35.0</v>
      </c>
      <c r="C76">
        <v>111.0</v>
      </c>
      <c r="D76">
        <v>3.0</v>
      </c>
      <c r="E76" t="str">
        <f t="shared" si="1"/>
        <v>3.3</v>
      </c>
      <c r="F76">
        <v>10.0</v>
      </c>
      <c r="G76">
        <v>3.0</v>
      </c>
      <c r="H76" t="str">
        <f t="shared" si="2"/>
        <v>30</v>
      </c>
      <c r="I76">
        <v>108.0</v>
      </c>
      <c r="J76" t="str">
        <f t="shared" si="3"/>
        <v>342.9</v>
      </c>
      <c r="K76" t="str">
        <f t="shared" si="4"/>
        <v>1361.313</v>
      </c>
      <c r="L76" t="str">
        <f t="shared" si="5"/>
        <v>4.53771</v>
      </c>
      <c r="M76" t="str">
        <f t="shared" si="6"/>
        <v>397</v>
      </c>
      <c r="N76" t="s">
        <v>182</v>
      </c>
      <c r="O76" t="s">
        <v>290</v>
      </c>
    </row>
    <row r="77" ht="15.75" customHeight="1">
      <c r="A77">
        <v>75.0</v>
      </c>
      <c r="B77">
        <v>45.0</v>
      </c>
      <c r="C77">
        <v>149.0</v>
      </c>
      <c r="D77">
        <v>3.0</v>
      </c>
      <c r="E77" t="str">
        <f t="shared" si="1"/>
        <v>3.4</v>
      </c>
      <c r="F77">
        <v>8.0</v>
      </c>
      <c r="G77">
        <v>2.0</v>
      </c>
      <c r="H77" t="str">
        <f t="shared" si="2"/>
        <v>16</v>
      </c>
      <c r="I77">
        <v>96.0</v>
      </c>
      <c r="J77" t="str">
        <f t="shared" si="3"/>
        <v>304.8</v>
      </c>
      <c r="K77" t="str">
        <f t="shared" si="4"/>
        <v>1222.248</v>
      </c>
      <c r="L77" t="str">
        <f t="shared" si="5"/>
        <v>7.63905</v>
      </c>
      <c r="M77" t="str">
        <f t="shared" si="6"/>
        <v>401</v>
      </c>
      <c r="N77" t="s">
        <v>182</v>
      </c>
      <c r="O77" t="s">
        <v>291</v>
      </c>
      <c r="P77" t="s">
        <v>292</v>
      </c>
    </row>
    <row r="78" ht="15.75" customHeight="1">
      <c r="A78">
        <v>76.0</v>
      </c>
      <c r="B78">
        <v>83.0</v>
      </c>
      <c r="C78">
        <v>159.0</v>
      </c>
      <c r="D78">
        <v>3.0</v>
      </c>
      <c r="E78" t="str">
        <f t="shared" si="1"/>
        <v>2.925</v>
      </c>
      <c r="F78">
        <v>4.0</v>
      </c>
      <c r="G78">
        <v>2.0</v>
      </c>
      <c r="H78" t="str">
        <f t="shared" si="2"/>
        <v>8</v>
      </c>
      <c r="I78">
        <v>102.0</v>
      </c>
      <c r="J78" t="str">
        <f t="shared" si="3"/>
        <v>323.85</v>
      </c>
      <c r="K78" t="str">
        <f t="shared" si="4"/>
        <v>1169.0985</v>
      </c>
      <c r="L78" t="str">
        <f t="shared" si="5"/>
        <v>14.61373125</v>
      </c>
      <c r="M78" t="str">
        <f t="shared" si="6"/>
        <v>361</v>
      </c>
      <c r="N78" t="s">
        <v>182</v>
      </c>
      <c r="O78" t="s">
        <v>293</v>
      </c>
      <c r="P78" t="s">
        <v>294</v>
      </c>
    </row>
    <row r="79" ht="15.75" customHeight="1">
      <c r="A79">
        <v>77.0</v>
      </c>
      <c r="B79">
        <v>75.0</v>
      </c>
      <c r="C79">
        <v>84.0</v>
      </c>
      <c r="D79">
        <v>3.0</v>
      </c>
      <c r="E79" t="str">
        <f t="shared" si="1"/>
        <v>6.805</v>
      </c>
      <c r="F79">
        <v>4.0</v>
      </c>
      <c r="G79">
        <v>5.0</v>
      </c>
      <c r="H79" t="str">
        <f t="shared" si="2"/>
        <v>20</v>
      </c>
      <c r="I79">
        <v>143.0</v>
      </c>
      <c r="J79" t="str">
        <f t="shared" si="3"/>
        <v>454.025</v>
      </c>
      <c r="K79" t="str">
        <f t="shared" si="4"/>
        <v>1493.74225</v>
      </c>
      <c r="L79" t="str">
        <f t="shared" si="5"/>
        <v>7.46871125</v>
      </c>
      <c r="M79" t="str">
        <f t="shared" si="6"/>
        <v>329</v>
      </c>
      <c r="N79" t="s">
        <v>187</v>
      </c>
      <c r="O79" t="s">
        <v>295</v>
      </c>
      <c r="P79" t="s">
        <v>296</v>
      </c>
    </row>
    <row r="80" ht="15.75" customHeight="1">
      <c r="A80">
        <v>78.0</v>
      </c>
      <c r="B80">
        <v>88.0</v>
      </c>
      <c r="C80">
        <v>330.0</v>
      </c>
      <c r="D80">
        <v>3.0</v>
      </c>
      <c r="E80" t="str">
        <f t="shared" si="1"/>
        <v>3.375</v>
      </c>
      <c r="F80">
        <v>4.0</v>
      </c>
      <c r="G80">
        <v>1.0</v>
      </c>
      <c r="H80" t="str">
        <f t="shared" si="2"/>
        <v>4</v>
      </c>
      <c r="I80">
        <v>105.0</v>
      </c>
      <c r="J80" t="str">
        <f t="shared" si="3"/>
        <v>333.375</v>
      </c>
      <c r="K80" t="str">
        <f t="shared" si="4"/>
        <v>1270.15875</v>
      </c>
      <c r="L80" t="str">
        <f t="shared" si="5"/>
        <v>31.75396875</v>
      </c>
      <c r="M80" t="str">
        <f t="shared" si="6"/>
        <v>381</v>
      </c>
      <c r="N80" t="s">
        <v>187</v>
      </c>
      <c r="O80" t="s">
        <v>297</v>
      </c>
      <c r="P80" t="s">
        <v>298</v>
      </c>
    </row>
    <row r="81" ht="15.75" customHeight="1">
      <c r="A81">
        <v>79.0</v>
      </c>
      <c r="B81">
        <v>53.0</v>
      </c>
      <c r="C81">
        <v>340.0</v>
      </c>
      <c r="D81">
        <v>3.0</v>
      </c>
      <c r="E81" t="str">
        <f t="shared" si="1"/>
        <v>2.9</v>
      </c>
      <c r="F81">
        <v>6.0</v>
      </c>
      <c r="G81">
        <v>1.0</v>
      </c>
      <c r="H81" t="str">
        <f t="shared" si="2"/>
        <v>6</v>
      </c>
      <c r="I81">
        <v>108.0</v>
      </c>
      <c r="J81" t="str">
        <f t="shared" si="3"/>
        <v>342.9</v>
      </c>
      <c r="K81" t="str">
        <f t="shared" si="4"/>
        <v>1210.437</v>
      </c>
      <c r="L81" t="str">
        <f t="shared" si="5"/>
        <v>20.17395</v>
      </c>
      <c r="M81" t="str">
        <f t="shared" si="6"/>
        <v>353</v>
      </c>
      <c r="N81" t="s">
        <v>187</v>
      </c>
      <c r="O81" t="s">
        <v>299</v>
      </c>
      <c r="P81" t="s">
        <v>298</v>
      </c>
    </row>
    <row r="82" ht="15.75" customHeight="1">
      <c r="A82">
        <v>80.0</v>
      </c>
      <c r="B82">
        <v>58.0</v>
      </c>
      <c r="C82">
        <v>340.0</v>
      </c>
      <c r="D82">
        <v>3.0</v>
      </c>
      <c r="E82" t="str">
        <f t="shared" si="1"/>
        <v>2.9</v>
      </c>
      <c r="F82">
        <v>6.0</v>
      </c>
      <c r="G82">
        <v>1.0</v>
      </c>
      <c r="H82" t="str">
        <f t="shared" si="2"/>
        <v>6</v>
      </c>
      <c r="I82">
        <v>108.0</v>
      </c>
      <c r="J82" t="str">
        <f t="shared" si="3"/>
        <v>342.9</v>
      </c>
      <c r="K82" t="str">
        <f t="shared" si="4"/>
        <v>1313.307</v>
      </c>
      <c r="L82" t="str">
        <f t="shared" si="5"/>
        <v>21.88845</v>
      </c>
      <c r="M82" t="str">
        <f t="shared" si="6"/>
        <v>383</v>
      </c>
      <c r="N82" t="s">
        <v>187</v>
      </c>
      <c r="O82" t="s">
        <v>300</v>
      </c>
      <c r="P82" t="s">
        <v>298</v>
      </c>
    </row>
    <row r="83" ht="15.75" customHeight="1">
      <c r="A83">
        <v>81.0</v>
      </c>
      <c r="B83">
        <v>16.0</v>
      </c>
      <c r="C83">
        <v>320.0</v>
      </c>
      <c r="D83">
        <v>3.0</v>
      </c>
      <c r="E83" t="str">
        <f t="shared" si="1"/>
        <v>3.85</v>
      </c>
      <c r="F83">
        <v>16.0</v>
      </c>
      <c r="G83">
        <v>1.0</v>
      </c>
      <c r="H83" t="str">
        <f t="shared" si="2"/>
        <v>16</v>
      </c>
      <c r="I83">
        <v>102.0</v>
      </c>
      <c r="J83" t="str">
        <f t="shared" si="3"/>
        <v>323.85</v>
      </c>
      <c r="K83" t="str">
        <f t="shared" si="4"/>
        <v>1039.5585</v>
      </c>
      <c r="L83" t="str">
        <f t="shared" si="5"/>
        <v>6.497240625</v>
      </c>
      <c r="M83" t="str">
        <f t="shared" si="6"/>
        <v>321</v>
      </c>
      <c r="N83" t="s">
        <v>187</v>
      </c>
      <c r="O83" t="s">
        <v>301</v>
      </c>
      <c r="P83" t="s">
        <v>298</v>
      </c>
    </row>
    <row r="84" ht="15.75" customHeight="1">
      <c r="A84">
        <v>82.0</v>
      </c>
      <c r="B84">
        <v>34.5</v>
      </c>
      <c r="C84">
        <v>340.0</v>
      </c>
      <c r="D84">
        <v>3.0</v>
      </c>
      <c r="E84" t="str">
        <f t="shared" si="1"/>
        <v>2.9</v>
      </c>
      <c r="F84">
        <v>10.0</v>
      </c>
      <c r="G84">
        <v>1.0</v>
      </c>
      <c r="H84" t="str">
        <f t="shared" si="2"/>
        <v>10</v>
      </c>
      <c r="I84">
        <v>108.0</v>
      </c>
      <c r="J84" t="str">
        <f t="shared" si="3"/>
        <v>342.9</v>
      </c>
      <c r="K84" t="str">
        <f t="shared" si="4"/>
        <v>1344.168</v>
      </c>
      <c r="L84" t="str">
        <f t="shared" si="5"/>
        <v>13.44168</v>
      </c>
      <c r="M84" t="str">
        <f t="shared" si="6"/>
        <v>392</v>
      </c>
      <c r="N84" t="s">
        <v>187</v>
      </c>
      <c r="O84" t="s">
        <v>302</v>
      </c>
      <c r="P84" t="s">
        <v>298</v>
      </c>
    </row>
    <row r="85" ht="15.75" customHeight="1">
      <c r="A85">
        <v>83.0</v>
      </c>
      <c r="B85">
        <v>108.0</v>
      </c>
      <c r="C85">
        <v>340.0</v>
      </c>
      <c r="D85">
        <v>3.0</v>
      </c>
      <c r="E85" t="str">
        <f t="shared" si="1"/>
        <v>2.9</v>
      </c>
      <c r="F85">
        <v>2.0</v>
      </c>
      <c r="G85">
        <v>1.0</v>
      </c>
      <c r="H85" t="str">
        <f t="shared" si="2"/>
        <v>2</v>
      </c>
      <c r="I85">
        <v>108.0</v>
      </c>
      <c r="J85" t="str">
        <f t="shared" si="3"/>
        <v>342.9</v>
      </c>
      <c r="K85" t="str">
        <f t="shared" si="4"/>
        <v>819.531</v>
      </c>
      <c r="L85" t="str">
        <f t="shared" si="5"/>
        <v>40.97655</v>
      </c>
      <c r="M85" t="str">
        <f t="shared" si="6"/>
        <v>239</v>
      </c>
      <c r="N85" t="s">
        <v>187</v>
      </c>
      <c r="O85" t="s">
        <v>303</v>
      </c>
      <c r="P85" t="s">
        <v>304</v>
      </c>
    </row>
    <row r="86" ht="15.75" customHeight="1">
      <c r="A86">
        <v>84.0</v>
      </c>
      <c r="B86">
        <v>53.0</v>
      </c>
      <c r="C86">
        <v>451.0</v>
      </c>
      <c r="D86">
        <v>3.0</v>
      </c>
      <c r="E86" t="str">
        <f t="shared" si="1"/>
        <v>3.025</v>
      </c>
      <c r="F86">
        <v>6.0</v>
      </c>
      <c r="G86">
        <v>1.0</v>
      </c>
      <c r="H86" t="str">
        <f t="shared" si="2"/>
        <v>6</v>
      </c>
      <c r="I86">
        <v>143.0</v>
      </c>
      <c r="J86" t="str">
        <f t="shared" si="3"/>
        <v>454.025</v>
      </c>
      <c r="K86" t="str">
        <f t="shared" si="4"/>
        <v>1602.70825</v>
      </c>
      <c r="L86" t="str">
        <f t="shared" si="5"/>
        <v>26.71180417</v>
      </c>
      <c r="M86" t="str">
        <f t="shared" si="6"/>
        <v>353</v>
      </c>
      <c r="N86" t="s">
        <v>187</v>
      </c>
      <c r="O86" t="s">
        <v>305</v>
      </c>
      <c r="P86" t="s">
        <v>298</v>
      </c>
    </row>
    <row r="87" ht="15.75" customHeight="1">
      <c r="A87">
        <v>85.0</v>
      </c>
      <c r="B87">
        <v>11.0</v>
      </c>
      <c r="C87">
        <v>426.0</v>
      </c>
      <c r="D87">
        <v>3.0</v>
      </c>
      <c r="E87" t="str">
        <f t="shared" si="1"/>
        <v>2.625</v>
      </c>
      <c r="F87">
        <v>20.0</v>
      </c>
      <c r="G87">
        <v>1.0</v>
      </c>
      <c r="H87" t="str">
        <f t="shared" si="2"/>
        <v>20</v>
      </c>
      <c r="I87">
        <v>135.0</v>
      </c>
      <c r="J87" t="str">
        <f t="shared" si="3"/>
        <v>428.625</v>
      </c>
      <c r="K87" t="str">
        <f t="shared" si="4"/>
        <v>1273.01625</v>
      </c>
      <c r="L87" t="str">
        <f t="shared" si="5"/>
        <v>6.36508125</v>
      </c>
      <c r="M87" t="str">
        <f t="shared" si="6"/>
        <v>297</v>
      </c>
      <c r="N87" t="s">
        <v>187</v>
      </c>
      <c r="O87" t="s">
        <v>306</v>
      </c>
      <c r="P87" t="s">
        <v>298</v>
      </c>
    </row>
    <row r="88" ht="15.75" customHeight="1">
      <c r="A88">
        <v>86.0</v>
      </c>
      <c r="B88">
        <v>125.5</v>
      </c>
      <c r="C88">
        <v>183.0</v>
      </c>
      <c r="D88">
        <v>3.0</v>
      </c>
      <c r="E88" t="str">
        <f t="shared" si="1"/>
        <v>3.266666667</v>
      </c>
      <c r="F88">
        <v>3.0</v>
      </c>
      <c r="G88">
        <v>3.0</v>
      </c>
      <c r="H88" t="str">
        <f t="shared" si="2"/>
        <v>9</v>
      </c>
      <c r="I88">
        <v>176.0</v>
      </c>
      <c r="J88" t="str">
        <f t="shared" si="3"/>
        <v>558.8</v>
      </c>
      <c r="K88" t="str">
        <f t="shared" si="4"/>
        <v>2249.17</v>
      </c>
      <c r="L88" t="str">
        <f t="shared" si="5"/>
        <v>24.99077778</v>
      </c>
      <c r="M88" t="str">
        <f t="shared" si="6"/>
        <v>402.5</v>
      </c>
      <c r="N88" t="s">
        <v>187</v>
      </c>
      <c r="O88" t="s">
        <v>307</v>
      </c>
      <c r="P88" t="s">
        <v>308</v>
      </c>
    </row>
    <row r="89" ht="15.75" customHeight="1">
      <c r="A89">
        <v>87.0</v>
      </c>
      <c r="B89">
        <v>51.0</v>
      </c>
      <c r="C89">
        <v>183.0</v>
      </c>
      <c r="D89">
        <v>3.0</v>
      </c>
      <c r="E89" t="str">
        <f t="shared" si="1"/>
        <v>3.266666667</v>
      </c>
      <c r="F89">
        <v>7.0</v>
      </c>
      <c r="G89">
        <v>3.0</v>
      </c>
      <c r="H89" t="str">
        <f t="shared" si="2"/>
        <v>21</v>
      </c>
      <c r="I89">
        <v>176.0</v>
      </c>
      <c r="J89" t="str">
        <f t="shared" si="3"/>
        <v>558.8</v>
      </c>
      <c r="K89" t="str">
        <f t="shared" si="4"/>
        <v>2207.26</v>
      </c>
      <c r="L89" t="str">
        <f t="shared" si="5"/>
        <v>10.5107619</v>
      </c>
      <c r="M89" t="str">
        <f t="shared" si="6"/>
        <v>395</v>
      </c>
      <c r="N89" t="s">
        <v>182</v>
      </c>
      <c r="O89" t="s">
        <v>309</v>
      </c>
      <c r="P89" t="s">
        <v>310</v>
      </c>
    </row>
    <row r="90" ht="15.75" customHeight="1">
      <c r="A90">
        <v>88.0</v>
      </c>
      <c r="B90">
        <v>60.0</v>
      </c>
      <c r="C90">
        <v>124.0</v>
      </c>
      <c r="D90">
        <v>3.0</v>
      </c>
      <c r="E90" t="str">
        <f t="shared" si="1"/>
        <v>3</v>
      </c>
      <c r="F90">
        <v>6.0</v>
      </c>
      <c r="G90">
        <v>3.0</v>
      </c>
      <c r="H90" t="str">
        <f t="shared" si="2"/>
        <v>18</v>
      </c>
      <c r="I90">
        <v>120.0</v>
      </c>
      <c r="J90" t="str">
        <f t="shared" si="3"/>
        <v>381</v>
      </c>
      <c r="K90" t="str">
        <f t="shared" si="4"/>
        <v>1504.95</v>
      </c>
      <c r="L90" t="str">
        <f t="shared" si="5"/>
        <v>8.360833333</v>
      </c>
      <c r="M90" t="str">
        <f t="shared" si="6"/>
        <v>395</v>
      </c>
      <c r="N90" t="s">
        <v>182</v>
      </c>
      <c r="O90" t="s">
        <v>311</v>
      </c>
    </row>
    <row r="91" ht="15.75" customHeight="1">
      <c r="A91">
        <v>89.0</v>
      </c>
      <c r="B91">
        <v>94.0</v>
      </c>
      <c r="C91">
        <v>48.0</v>
      </c>
      <c r="D91">
        <v>3.0</v>
      </c>
      <c r="E91" t="str">
        <f t="shared" si="1"/>
        <v>2.8</v>
      </c>
      <c r="F91">
        <v>4.0</v>
      </c>
      <c r="G91">
        <v>6.0</v>
      </c>
      <c r="H91" t="str">
        <f t="shared" si="2"/>
        <v>24</v>
      </c>
      <c r="I91">
        <v>96.0</v>
      </c>
      <c r="J91" t="str">
        <f t="shared" si="3"/>
        <v>304.8</v>
      </c>
      <c r="K91" t="str">
        <f t="shared" si="4"/>
        <v>1234.44</v>
      </c>
      <c r="L91" t="str">
        <f t="shared" si="5"/>
        <v>5.1435</v>
      </c>
      <c r="M91" t="str">
        <f t="shared" si="6"/>
        <v>405</v>
      </c>
      <c r="N91" t="s">
        <v>187</v>
      </c>
      <c r="O91" t="s">
        <v>312</v>
      </c>
      <c r="P91" t="s">
        <v>313</v>
      </c>
    </row>
    <row r="92" ht="15.75" customHeight="1">
      <c r="A92">
        <v>90.0</v>
      </c>
      <c r="B92">
        <v>64.0</v>
      </c>
      <c r="C92">
        <v>30.0</v>
      </c>
      <c r="D92">
        <v>3.0</v>
      </c>
      <c r="E92" t="str">
        <f t="shared" si="1"/>
        <v>3.3375</v>
      </c>
      <c r="F92">
        <v>6.0</v>
      </c>
      <c r="G92">
        <v>10.0</v>
      </c>
      <c r="H92" t="str">
        <f t="shared" si="2"/>
        <v>60</v>
      </c>
      <c r="I92">
        <v>105.0</v>
      </c>
      <c r="J92" t="str">
        <f t="shared" si="3"/>
        <v>333.375</v>
      </c>
      <c r="K92" t="str">
        <f t="shared" si="4"/>
        <v>1396.84125</v>
      </c>
      <c r="L92" t="str">
        <f t="shared" si="5"/>
        <v>2.32806875</v>
      </c>
      <c r="M92" t="str">
        <f t="shared" si="6"/>
        <v>419</v>
      </c>
      <c r="N92" t="s">
        <v>187</v>
      </c>
      <c r="O92" t="s">
        <v>314</v>
      </c>
      <c r="P92" t="s">
        <v>315</v>
      </c>
    </row>
    <row r="93" ht="15.75" customHeight="1">
      <c r="A93">
        <v>91.0</v>
      </c>
      <c r="B93">
        <v>70.0</v>
      </c>
      <c r="C93">
        <v>36.0</v>
      </c>
      <c r="D93">
        <v>3.0</v>
      </c>
      <c r="E93" t="str">
        <f t="shared" si="1"/>
        <v>2.89375</v>
      </c>
      <c r="F93">
        <v>5.0</v>
      </c>
      <c r="G93">
        <v>8.0</v>
      </c>
      <c r="H93" t="str">
        <f t="shared" si="2"/>
        <v>40</v>
      </c>
      <c r="I93">
        <v>98.0</v>
      </c>
      <c r="J93" t="str">
        <f t="shared" si="3"/>
        <v>311.15</v>
      </c>
      <c r="K93" t="str">
        <f t="shared" si="4"/>
        <v>1188.593</v>
      </c>
      <c r="L93" t="str">
        <f t="shared" si="5"/>
        <v>2.9714825</v>
      </c>
      <c r="M93" t="str">
        <f t="shared" si="6"/>
        <v>382</v>
      </c>
      <c r="N93" t="s">
        <v>187</v>
      </c>
      <c r="O93" t="s">
        <v>316</v>
      </c>
      <c r="P93" t="s">
        <v>317</v>
      </c>
    </row>
    <row r="94" ht="15.75" customHeight="1">
      <c r="A94">
        <v>92.0</v>
      </c>
      <c r="B94">
        <v>40.0</v>
      </c>
      <c r="C94">
        <v>100.0</v>
      </c>
      <c r="D94">
        <v>3.0</v>
      </c>
      <c r="E94" t="str">
        <f t="shared" si="1"/>
        <v>3.716666667</v>
      </c>
      <c r="F94">
        <v>8.0</v>
      </c>
      <c r="G94">
        <v>3.0</v>
      </c>
      <c r="H94" t="str">
        <f t="shared" si="2"/>
        <v>24</v>
      </c>
      <c r="I94">
        <v>98.0</v>
      </c>
      <c r="J94" t="str">
        <f t="shared" si="3"/>
        <v>311.15</v>
      </c>
      <c r="K94" t="str">
        <f t="shared" si="4"/>
        <v>1123.2515</v>
      </c>
      <c r="L94" t="str">
        <f t="shared" si="5"/>
        <v>4.680214583</v>
      </c>
      <c r="M94" t="str">
        <f t="shared" si="6"/>
        <v>361</v>
      </c>
      <c r="N94" t="s">
        <v>182</v>
      </c>
      <c r="O94" t="s">
        <v>318</v>
      </c>
    </row>
    <row r="95" ht="15.75" customHeight="1">
      <c r="A95">
        <v>93.0</v>
      </c>
      <c r="B95">
        <v>44.0</v>
      </c>
      <c r="C95">
        <v>105.0</v>
      </c>
      <c r="D95">
        <v>3.0</v>
      </c>
      <c r="E95" t="str">
        <f t="shared" si="1"/>
        <v>2.95</v>
      </c>
      <c r="F95">
        <v>8.0</v>
      </c>
      <c r="G95">
        <v>3.0</v>
      </c>
      <c r="H95" t="str">
        <f t="shared" si="2"/>
        <v>24</v>
      </c>
      <c r="I95">
        <v>102.0</v>
      </c>
      <c r="J95" t="str">
        <f t="shared" si="3"/>
        <v>323.85</v>
      </c>
      <c r="K95" t="str">
        <f t="shared" si="4"/>
        <v>1272.7305</v>
      </c>
      <c r="L95" t="str">
        <f t="shared" si="5"/>
        <v>5.30304375</v>
      </c>
      <c r="M95" t="str">
        <f t="shared" si="6"/>
        <v>393</v>
      </c>
      <c r="N95" t="s">
        <v>182</v>
      </c>
      <c r="O95" t="s">
        <v>319</v>
      </c>
    </row>
    <row r="96" ht="15.75" customHeight="1">
      <c r="A96">
        <v>94.0</v>
      </c>
      <c r="B96">
        <v>89.0</v>
      </c>
      <c r="C96">
        <v>39.0</v>
      </c>
      <c r="D96">
        <v>3.0</v>
      </c>
      <c r="E96" t="str">
        <f t="shared" si="1"/>
        <v>2.671875</v>
      </c>
      <c r="F96">
        <v>4.0</v>
      </c>
      <c r="G96">
        <v>8.0</v>
      </c>
      <c r="H96" t="str">
        <f t="shared" si="2"/>
        <v>32</v>
      </c>
      <c r="I96">
        <v>105.0</v>
      </c>
      <c r="J96" t="str">
        <f t="shared" si="3"/>
        <v>333.375</v>
      </c>
      <c r="K96" t="str">
        <f t="shared" si="4"/>
        <v>1283.49375</v>
      </c>
      <c r="L96" t="str">
        <f t="shared" si="5"/>
        <v>4.010917969</v>
      </c>
      <c r="M96" t="str">
        <f t="shared" si="6"/>
        <v>385</v>
      </c>
      <c r="N96" t="s">
        <v>187</v>
      </c>
      <c r="O96" t="s">
        <v>320</v>
      </c>
      <c r="P96" t="s">
        <v>321</v>
      </c>
    </row>
    <row r="97" ht="15.75" customHeight="1">
      <c r="A97">
        <v>95.0</v>
      </c>
      <c r="B97">
        <v>140.0</v>
      </c>
      <c r="C97">
        <v>60.0</v>
      </c>
      <c r="D97">
        <v>3.0</v>
      </c>
      <c r="E97" t="str">
        <f t="shared" si="1"/>
        <v>3.5</v>
      </c>
      <c r="F97">
        <v>2.0</v>
      </c>
      <c r="G97">
        <v>6.0</v>
      </c>
      <c r="H97" t="str">
        <f t="shared" si="2"/>
        <v>12</v>
      </c>
      <c r="I97">
        <v>120.0</v>
      </c>
      <c r="J97" t="str">
        <f t="shared" si="3"/>
        <v>381</v>
      </c>
      <c r="K97" t="str">
        <f t="shared" si="4"/>
        <v>1154.43</v>
      </c>
      <c r="L97" t="str">
        <f t="shared" si="5"/>
        <v>9.62025</v>
      </c>
      <c r="M97" t="str">
        <f t="shared" si="6"/>
        <v>303</v>
      </c>
      <c r="N97" t="s">
        <v>187</v>
      </c>
      <c r="O97" t="s">
        <v>322</v>
      </c>
      <c r="P97" t="s">
        <v>323</v>
      </c>
    </row>
    <row r="98" ht="15.75" customHeight="1">
      <c r="A98">
        <v>96.0</v>
      </c>
      <c r="B98">
        <v>50.0</v>
      </c>
      <c r="C98">
        <v>73.0</v>
      </c>
      <c r="D98">
        <v>3.0</v>
      </c>
      <c r="E98" t="str">
        <f t="shared" si="1"/>
        <v>3.2</v>
      </c>
      <c r="F98">
        <v>7.0</v>
      </c>
      <c r="G98">
        <v>4.0</v>
      </c>
      <c r="H98" t="str">
        <f t="shared" si="2"/>
        <v>28</v>
      </c>
      <c r="I98">
        <v>96.0</v>
      </c>
      <c r="J98" t="str">
        <f t="shared" si="3"/>
        <v>304.8</v>
      </c>
      <c r="K98" t="str">
        <f t="shared" si="4"/>
        <v>1182.624</v>
      </c>
      <c r="L98" t="str">
        <f t="shared" si="5"/>
        <v>4.223657143</v>
      </c>
      <c r="M98" t="str">
        <f t="shared" si="6"/>
        <v>388</v>
      </c>
      <c r="N98" t="s">
        <v>182</v>
      </c>
      <c r="O98" t="s">
        <v>324</v>
      </c>
    </row>
    <row r="99" ht="15.75" customHeight="1">
      <c r="A99">
        <v>97.0</v>
      </c>
      <c r="B99">
        <v>73.0</v>
      </c>
      <c r="C99">
        <v>140.0</v>
      </c>
      <c r="D99">
        <v>3.0</v>
      </c>
      <c r="E99" t="str">
        <f t="shared" si="1"/>
        <v>2.875</v>
      </c>
      <c r="F99">
        <v>5.0</v>
      </c>
      <c r="G99">
        <v>3.0</v>
      </c>
      <c r="H99" t="str">
        <f t="shared" si="2"/>
        <v>15</v>
      </c>
      <c r="I99">
        <v>135.0</v>
      </c>
      <c r="J99" t="str">
        <f t="shared" si="3"/>
        <v>428.625</v>
      </c>
      <c r="K99" t="str">
        <f t="shared" si="4"/>
        <v>1701.64125</v>
      </c>
      <c r="L99" t="str">
        <f t="shared" si="5"/>
        <v>11.344275</v>
      </c>
      <c r="M99" t="str">
        <f t="shared" si="6"/>
        <v>397</v>
      </c>
      <c r="N99" t="s">
        <v>182</v>
      </c>
      <c r="O99" t="s">
        <v>325</v>
      </c>
    </row>
    <row r="100" ht="15.75" customHeight="1">
      <c r="A100">
        <v>98.0</v>
      </c>
      <c r="B100">
        <v>85.0</v>
      </c>
      <c r="C100">
        <v>41.5</v>
      </c>
      <c r="D100">
        <v>3.0</v>
      </c>
      <c r="E100" t="str">
        <f t="shared" si="1"/>
        <v>2.95</v>
      </c>
      <c r="F100">
        <v>4.0</v>
      </c>
      <c r="G100">
        <v>7.0</v>
      </c>
      <c r="H100" t="str">
        <f t="shared" si="2"/>
        <v>28</v>
      </c>
      <c r="I100">
        <v>98.0</v>
      </c>
      <c r="J100" t="str">
        <f t="shared" si="3"/>
        <v>311.15</v>
      </c>
      <c r="K100" t="str">
        <f t="shared" si="4"/>
        <v>1148.1435</v>
      </c>
      <c r="L100" t="str">
        <f t="shared" si="5"/>
        <v>4.1005125</v>
      </c>
      <c r="M100" t="str">
        <f t="shared" si="6"/>
        <v>369</v>
      </c>
      <c r="N100" t="s">
        <v>182</v>
      </c>
      <c r="O100" t="s">
        <v>326</v>
      </c>
    </row>
    <row r="101" ht="15.75" customHeight="1">
      <c r="A101">
        <v>99.0</v>
      </c>
      <c r="B101">
        <v>112.0</v>
      </c>
      <c r="C101">
        <v>111.0</v>
      </c>
      <c r="D101">
        <v>3.0</v>
      </c>
      <c r="E101" t="str">
        <f t="shared" si="1"/>
        <v>3.3</v>
      </c>
      <c r="F101">
        <v>2.0</v>
      </c>
      <c r="G101">
        <v>3.0</v>
      </c>
      <c r="H101" t="str">
        <f t="shared" si="2"/>
        <v>6</v>
      </c>
      <c r="I101">
        <v>108.0</v>
      </c>
      <c r="J101" t="str">
        <f t="shared" si="3"/>
        <v>342.9</v>
      </c>
      <c r="K101" t="str">
        <f t="shared" si="4"/>
        <v>846.963</v>
      </c>
      <c r="L101" t="str">
        <f t="shared" si="5"/>
        <v>14.11605</v>
      </c>
      <c r="M101" t="str">
        <f t="shared" si="6"/>
        <v>247</v>
      </c>
      <c r="N101" t="s">
        <v>187</v>
      </c>
      <c r="O101" t="s">
        <v>327</v>
      </c>
      <c r="P101" t="s">
        <v>328</v>
      </c>
    </row>
    <row r="102" ht="15.75" customHeight="1">
      <c r="A102">
        <v>100.0</v>
      </c>
      <c r="B102">
        <v>139.0</v>
      </c>
      <c r="C102">
        <v>124.0</v>
      </c>
      <c r="D102">
        <v>3.0</v>
      </c>
      <c r="E102" t="str">
        <f t="shared" si="1"/>
        <v>3</v>
      </c>
      <c r="F102">
        <v>2.0</v>
      </c>
      <c r="G102">
        <v>3.0</v>
      </c>
      <c r="H102" t="str">
        <f t="shared" si="2"/>
        <v>6</v>
      </c>
      <c r="I102">
        <v>120.0</v>
      </c>
      <c r="J102" t="str">
        <f t="shared" si="3"/>
        <v>381</v>
      </c>
      <c r="K102" t="str">
        <f t="shared" si="4"/>
        <v>1146.81</v>
      </c>
      <c r="L102" t="str">
        <f t="shared" si="5"/>
        <v>19.1135</v>
      </c>
      <c r="M102" t="str">
        <f t="shared" si="6"/>
        <v>301</v>
      </c>
      <c r="N102" t="s">
        <v>187</v>
      </c>
      <c r="O102" t="s">
        <v>329</v>
      </c>
      <c r="P102" t="s">
        <v>330</v>
      </c>
    </row>
    <row r="103" ht="15.75" customHeight="1">
      <c r="A103">
        <v>101.0</v>
      </c>
      <c r="B103">
        <v>130.0</v>
      </c>
      <c r="C103">
        <v>152.1</v>
      </c>
      <c r="D103">
        <v>3.0</v>
      </c>
      <c r="E103" t="str">
        <f t="shared" si="1"/>
        <v>3.475</v>
      </c>
      <c r="F103">
        <v>3.0</v>
      </c>
      <c r="G103">
        <v>2.0</v>
      </c>
      <c r="H103" t="str">
        <f t="shared" si="2"/>
        <v>6</v>
      </c>
      <c r="I103">
        <v>98.0</v>
      </c>
      <c r="J103" t="str">
        <f t="shared" si="3"/>
        <v>311.15</v>
      </c>
      <c r="K103" t="str">
        <f t="shared" si="4"/>
        <v>1294.384</v>
      </c>
      <c r="L103" t="str">
        <f t="shared" si="5"/>
        <v>21.57306667</v>
      </c>
      <c r="M103" t="str">
        <f t="shared" si="6"/>
        <v>416</v>
      </c>
      <c r="N103" t="s">
        <v>187</v>
      </c>
      <c r="O103" t="s">
        <v>331</v>
      </c>
      <c r="P103" t="s">
        <v>332</v>
      </c>
    </row>
    <row r="104" ht="15.75" customHeight="1">
      <c r="A104">
        <v>102.0</v>
      </c>
      <c r="B104">
        <v>205.0</v>
      </c>
      <c r="C104">
        <v>152.5</v>
      </c>
      <c r="D104">
        <v>3.0</v>
      </c>
      <c r="E104" t="str">
        <f t="shared" si="1"/>
        <v>3.075</v>
      </c>
      <c r="F104">
        <v>1.0</v>
      </c>
      <c r="G104">
        <v>2.0</v>
      </c>
      <c r="H104" t="str">
        <f t="shared" si="2"/>
        <v>2</v>
      </c>
      <c r="I104">
        <v>98.0</v>
      </c>
      <c r="J104" t="str">
        <f t="shared" si="3"/>
        <v>311.15</v>
      </c>
      <c r="K104" t="str">
        <f t="shared" si="4"/>
        <v>700.0875</v>
      </c>
      <c r="L104" t="str">
        <f t="shared" si="5"/>
        <v>35.004375</v>
      </c>
      <c r="M104" t="str">
        <f t="shared" si="6"/>
        <v>225</v>
      </c>
      <c r="N104" t="s">
        <v>182</v>
      </c>
      <c r="O104" t="s">
        <v>333</v>
      </c>
      <c r="P104" t="s">
        <v>334</v>
      </c>
    </row>
    <row r="105" ht="15.75" customHeight="1">
      <c r="A105">
        <v>103.0</v>
      </c>
      <c r="B105">
        <v>24.0</v>
      </c>
      <c r="C105">
        <v>39.0</v>
      </c>
      <c r="D105">
        <v>3.0</v>
      </c>
      <c r="E105" t="str">
        <f t="shared" si="1"/>
        <v>3.8625</v>
      </c>
      <c r="F105">
        <v>10.0</v>
      </c>
      <c r="G105">
        <v>8.0</v>
      </c>
      <c r="H105" t="str">
        <f t="shared" si="2"/>
        <v>80</v>
      </c>
      <c r="I105">
        <v>108.0</v>
      </c>
      <c r="J105" t="str">
        <f t="shared" si="3"/>
        <v>342.9</v>
      </c>
      <c r="K105" t="str">
        <f t="shared" si="4"/>
        <v>984.123</v>
      </c>
      <c r="L105" t="str">
        <f t="shared" si="5"/>
        <v>1.23015375</v>
      </c>
      <c r="M105" t="str">
        <f t="shared" si="6"/>
        <v>287</v>
      </c>
      <c r="N105" t="s">
        <v>182</v>
      </c>
      <c r="O105" t="s">
        <v>335</v>
      </c>
    </row>
    <row r="106" ht="15.75" customHeight="1">
      <c r="A106">
        <v>104.0</v>
      </c>
      <c r="B106">
        <v>20.0</v>
      </c>
      <c r="C106">
        <v>100.0</v>
      </c>
      <c r="D106">
        <v>3.0</v>
      </c>
      <c r="E106" t="str">
        <f t="shared" si="1"/>
        <v>3.716666667</v>
      </c>
      <c r="F106">
        <v>14.0</v>
      </c>
      <c r="G106">
        <v>3.0</v>
      </c>
      <c r="H106" t="str">
        <f t="shared" si="2"/>
        <v>42</v>
      </c>
      <c r="I106">
        <v>98.0</v>
      </c>
      <c r="J106" t="str">
        <f t="shared" si="3"/>
        <v>311.15</v>
      </c>
      <c r="K106" t="str">
        <f t="shared" si="4"/>
        <v>1054.7985</v>
      </c>
      <c r="L106" t="str">
        <f t="shared" si="5"/>
        <v>2.511425</v>
      </c>
      <c r="M106" t="str">
        <f t="shared" si="6"/>
        <v>339</v>
      </c>
      <c r="N106" t="s">
        <v>182</v>
      </c>
      <c r="O106" t="s">
        <v>336</v>
      </c>
    </row>
    <row r="107" ht="15.75" customHeight="1">
      <c r="A107">
        <v>105.0</v>
      </c>
      <c r="B107">
        <v>120.0</v>
      </c>
      <c r="C107">
        <v>130.0</v>
      </c>
      <c r="D107">
        <v>3.0</v>
      </c>
      <c r="E107" t="str">
        <f t="shared" si="1"/>
        <v>3.35</v>
      </c>
      <c r="F107">
        <v>2.0</v>
      </c>
      <c r="G107">
        <v>3.0</v>
      </c>
      <c r="H107" t="str">
        <f t="shared" si="2"/>
        <v>6</v>
      </c>
      <c r="I107">
        <v>126.0</v>
      </c>
      <c r="J107" t="str">
        <f t="shared" si="3"/>
        <v>400.05</v>
      </c>
      <c r="K107" t="str">
        <f t="shared" si="4"/>
        <v>1052.1315</v>
      </c>
      <c r="L107" t="str">
        <f t="shared" si="5"/>
        <v>17.535525</v>
      </c>
      <c r="M107" t="str">
        <f t="shared" si="6"/>
        <v>263</v>
      </c>
      <c r="N107" t="s">
        <v>187</v>
      </c>
      <c r="O107" t="s">
        <v>337</v>
      </c>
      <c r="P107" t="s">
        <v>338</v>
      </c>
    </row>
    <row r="108" ht="15.75" customHeight="1">
      <c r="A108">
        <v>106.0</v>
      </c>
      <c r="B108">
        <v>90.0</v>
      </c>
      <c r="C108">
        <v>45.0</v>
      </c>
      <c r="D108">
        <v>3.0</v>
      </c>
      <c r="E108" t="str">
        <f t="shared" si="1"/>
        <v>2.625</v>
      </c>
      <c r="F108">
        <v>4.0</v>
      </c>
      <c r="G108">
        <v>7.0</v>
      </c>
      <c r="H108" t="str">
        <f t="shared" si="2"/>
        <v>28</v>
      </c>
      <c r="I108">
        <v>105.0</v>
      </c>
      <c r="J108" t="str">
        <f t="shared" si="3"/>
        <v>333.375</v>
      </c>
      <c r="K108" t="str">
        <f t="shared" si="4"/>
        <v>1296.82875</v>
      </c>
      <c r="L108" t="str">
        <f t="shared" si="5"/>
        <v>4.63153125</v>
      </c>
      <c r="M108" t="str">
        <f t="shared" si="6"/>
        <v>389</v>
      </c>
      <c r="N108" t="s">
        <v>187</v>
      </c>
      <c r="O108" t="s">
        <v>339</v>
      </c>
      <c r="P108" t="s">
        <v>340</v>
      </c>
    </row>
    <row r="109" ht="15.75" customHeight="1">
      <c r="A109">
        <v>107.0</v>
      </c>
      <c r="B109">
        <v>103.0</v>
      </c>
      <c r="C109">
        <v>78.0</v>
      </c>
      <c r="D109">
        <v>3.0</v>
      </c>
      <c r="E109" t="str">
        <f t="shared" si="1"/>
        <v>2.9625</v>
      </c>
      <c r="F109">
        <v>2.0</v>
      </c>
      <c r="G109">
        <v>4.0</v>
      </c>
      <c r="H109" t="str">
        <f t="shared" si="2"/>
        <v>8</v>
      </c>
      <c r="I109">
        <v>102.0</v>
      </c>
      <c r="J109" t="str">
        <f t="shared" si="3"/>
        <v>323.85</v>
      </c>
      <c r="K109" t="str">
        <f t="shared" si="4"/>
        <v>741.6165</v>
      </c>
      <c r="L109" t="str">
        <f t="shared" si="5"/>
        <v>9.27020625</v>
      </c>
      <c r="M109" t="str">
        <f t="shared" si="6"/>
        <v>229</v>
      </c>
      <c r="N109" t="s">
        <v>182</v>
      </c>
      <c r="O109" t="s">
        <v>341</v>
      </c>
      <c r="P109" t="s">
        <v>342</v>
      </c>
    </row>
    <row r="110" ht="15.75" customHeight="1">
      <c r="A110">
        <v>108.0</v>
      </c>
      <c r="B110">
        <v>120.0</v>
      </c>
      <c r="C110">
        <v>152.0</v>
      </c>
      <c r="D110">
        <v>3.0</v>
      </c>
      <c r="E110" t="str">
        <f t="shared" si="1"/>
        <v>3.575</v>
      </c>
      <c r="F110">
        <v>2.0</v>
      </c>
      <c r="G110">
        <v>2.0</v>
      </c>
      <c r="H110" t="str">
        <f t="shared" si="2"/>
        <v>4</v>
      </c>
      <c r="I110">
        <v>98.0</v>
      </c>
      <c r="J110" t="str">
        <f t="shared" si="3"/>
        <v>311.15</v>
      </c>
      <c r="K110" t="str">
        <f t="shared" si="4"/>
        <v>818.3245</v>
      </c>
      <c r="L110" t="str">
        <f t="shared" si="5"/>
        <v>20.4581125</v>
      </c>
      <c r="M110" t="str">
        <f t="shared" si="6"/>
        <v>263</v>
      </c>
      <c r="N110" t="s">
        <v>187</v>
      </c>
      <c r="O110" t="s">
        <v>343</v>
      </c>
      <c r="P110" t="s">
        <v>344</v>
      </c>
    </row>
    <row r="111" ht="15.75" customHeight="1">
      <c r="A111">
        <v>109.0</v>
      </c>
      <c r="B111">
        <v>100.0</v>
      </c>
      <c r="C111">
        <v>50.0</v>
      </c>
      <c r="D111">
        <v>3.0</v>
      </c>
      <c r="E111" t="str">
        <f t="shared" si="1"/>
        <v>3.578125</v>
      </c>
      <c r="F111">
        <v>4.0</v>
      </c>
      <c r="G111">
        <v>8.0</v>
      </c>
      <c r="H111" t="str">
        <f t="shared" si="2"/>
        <v>32</v>
      </c>
      <c r="I111">
        <v>135.0</v>
      </c>
      <c r="J111" t="str">
        <f t="shared" si="3"/>
        <v>428.625</v>
      </c>
      <c r="K111" t="str">
        <f t="shared" si="4"/>
        <v>1838.80125</v>
      </c>
      <c r="L111" t="str">
        <f t="shared" si="5"/>
        <v>5.746253906</v>
      </c>
      <c r="M111" t="str">
        <f t="shared" si="6"/>
        <v>429</v>
      </c>
      <c r="N111" t="s">
        <v>182</v>
      </c>
      <c r="O111" t="s">
        <v>345</v>
      </c>
    </row>
    <row r="112" ht="15.75" customHeight="1">
      <c r="A112">
        <v>110.0</v>
      </c>
      <c r="B112">
        <v>58.0</v>
      </c>
      <c r="C112">
        <v>210.0</v>
      </c>
      <c r="D112">
        <v>3.0</v>
      </c>
      <c r="E112" t="str">
        <f t="shared" si="1"/>
        <v>4.3125</v>
      </c>
      <c r="F112">
        <v>5.0</v>
      </c>
      <c r="G112">
        <v>2.0</v>
      </c>
      <c r="H112" t="str">
        <f t="shared" si="2"/>
        <v>10</v>
      </c>
      <c r="I112">
        <v>135.0</v>
      </c>
      <c r="J112" t="str">
        <f t="shared" si="3"/>
        <v>428.625</v>
      </c>
      <c r="K112" t="str">
        <f t="shared" si="4"/>
        <v>1380.1725</v>
      </c>
      <c r="L112" t="str">
        <f t="shared" si="5"/>
        <v>13.801725</v>
      </c>
      <c r="M112" t="str">
        <f t="shared" si="6"/>
        <v>322</v>
      </c>
      <c r="N112" t="s">
        <v>182</v>
      </c>
      <c r="O112" t="s">
        <v>346</v>
      </c>
    </row>
    <row r="113" ht="15.75" customHeight="1">
      <c r="A113">
        <v>111.0</v>
      </c>
      <c r="B113">
        <v>139.0</v>
      </c>
      <c r="C113">
        <v>120.0</v>
      </c>
      <c r="D113">
        <v>3.0</v>
      </c>
      <c r="E113" t="str">
        <f t="shared" si="1"/>
        <v>7</v>
      </c>
      <c r="F113">
        <v>2.0</v>
      </c>
      <c r="G113">
        <v>3.0</v>
      </c>
      <c r="H113" t="str">
        <f t="shared" si="2"/>
        <v>6</v>
      </c>
      <c r="I113">
        <v>120.0</v>
      </c>
      <c r="J113" t="str">
        <f t="shared" si="3"/>
        <v>381</v>
      </c>
      <c r="K113" t="str">
        <f t="shared" si="4"/>
        <v>1146.81</v>
      </c>
      <c r="L113" t="str">
        <f t="shared" si="5"/>
        <v>19.1135</v>
      </c>
      <c r="M113" t="str">
        <f t="shared" si="6"/>
        <v>301</v>
      </c>
      <c r="N113" t="s">
        <v>182</v>
      </c>
      <c r="O113" t="s">
        <v>347</v>
      </c>
      <c r="P113" t="s">
        <v>348</v>
      </c>
    </row>
    <row r="114" ht="15.75" customHeight="1">
      <c r="A114">
        <v>112.0</v>
      </c>
      <c r="B114">
        <v>68.0</v>
      </c>
      <c r="C114">
        <v>40.0</v>
      </c>
      <c r="D114">
        <v>3.0</v>
      </c>
      <c r="E114" t="str">
        <f t="shared" si="1"/>
        <v>2.8625</v>
      </c>
      <c r="F114">
        <v>4.0</v>
      </c>
      <c r="G114">
        <v>8.0</v>
      </c>
      <c r="H114" t="str">
        <f t="shared" si="2"/>
        <v>32</v>
      </c>
      <c r="I114">
        <v>108.0</v>
      </c>
      <c r="J114" t="str">
        <f t="shared" si="3"/>
        <v>342.9</v>
      </c>
      <c r="K114" t="str">
        <f t="shared" si="4"/>
        <v>1032.129</v>
      </c>
      <c r="L114" t="str">
        <f t="shared" si="5"/>
        <v>3.225403125</v>
      </c>
      <c r="M114" t="str">
        <f t="shared" si="6"/>
        <v>301</v>
      </c>
      <c r="N114" t="s">
        <v>187</v>
      </c>
      <c r="O114" t="s">
        <v>349</v>
      </c>
      <c r="P114" t="s">
        <v>350</v>
      </c>
    </row>
    <row r="115" ht="15.75" customHeight="1">
      <c r="A115">
        <v>113.0</v>
      </c>
      <c r="B115">
        <v>84.0</v>
      </c>
      <c r="C115">
        <v>64.0</v>
      </c>
      <c r="D115">
        <v>3.0</v>
      </c>
      <c r="E115" t="str">
        <f t="shared" si="1"/>
        <v>2.675</v>
      </c>
      <c r="F115">
        <v>4.0</v>
      </c>
      <c r="G115">
        <v>5.0</v>
      </c>
      <c r="H115" t="str">
        <f t="shared" si="2"/>
        <v>20</v>
      </c>
      <c r="I115">
        <v>105.0</v>
      </c>
      <c r="J115" t="str">
        <f t="shared" si="3"/>
        <v>333.375</v>
      </c>
      <c r="K115" t="str">
        <f t="shared" si="4"/>
        <v>1216.81875</v>
      </c>
      <c r="L115" t="str">
        <f t="shared" si="5"/>
        <v>6.08409375</v>
      </c>
      <c r="M115" t="str">
        <f t="shared" si="6"/>
        <v>365</v>
      </c>
      <c r="N115" t="s">
        <v>182</v>
      </c>
      <c r="O115" t="s">
        <v>351</v>
      </c>
    </row>
    <row r="116" ht="15.75" customHeight="1">
      <c r="A116">
        <v>114.0</v>
      </c>
      <c r="B116">
        <v>80.0</v>
      </c>
      <c r="C116">
        <v>111.0</v>
      </c>
      <c r="D116">
        <v>3.0</v>
      </c>
      <c r="E116" t="str">
        <f t="shared" si="1"/>
        <v>3.3</v>
      </c>
      <c r="F116">
        <v>5.0</v>
      </c>
      <c r="G116">
        <v>3.0</v>
      </c>
      <c r="H116" t="str">
        <f t="shared" si="2"/>
        <v>15</v>
      </c>
      <c r="I116">
        <v>108.0</v>
      </c>
      <c r="J116" t="str">
        <f t="shared" si="3"/>
        <v>342.9</v>
      </c>
      <c r="K116" t="str">
        <f t="shared" si="4"/>
        <v>1481.328</v>
      </c>
      <c r="L116" t="str">
        <f t="shared" si="5"/>
        <v>9.87552</v>
      </c>
      <c r="M116" t="str">
        <f t="shared" si="6"/>
        <v>432</v>
      </c>
      <c r="N116" t="s">
        <v>182</v>
      </c>
      <c r="O116" t="s">
        <v>352</v>
      </c>
    </row>
    <row r="117" ht="15.75" customHeight="1">
      <c r="A117">
        <v>115.0</v>
      </c>
      <c r="B117">
        <v>80.0</v>
      </c>
      <c r="C117">
        <v>35.0</v>
      </c>
      <c r="D117">
        <v>3.0</v>
      </c>
      <c r="E117" t="str">
        <f t="shared" si="1"/>
        <v>3.1</v>
      </c>
      <c r="F117">
        <v>5.0</v>
      </c>
      <c r="G117">
        <v>8.0</v>
      </c>
      <c r="H117" t="str">
        <f t="shared" si="2"/>
        <v>40</v>
      </c>
      <c r="I117">
        <v>96.0</v>
      </c>
      <c r="J117" t="str">
        <f t="shared" si="3"/>
        <v>304.8</v>
      </c>
      <c r="K117" t="str">
        <f t="shared" si="4"/>
        <v>1316.736</v>
      </c>
      <c r="L117" t="str">
        <f t="shared" si="5"/>
        <v>3.29184</v>
      </c>
      <c r="M117" t="str">
        <f t="shared" si="6"/>
        <v>432</v>
      </c>
      <c r="N117" t="s">
        <v>182</v>
      </c>
      <c r="O117" t="s">
        <v>353</v>
      </c>
    </row>
    <row r="118" ht="15.75" customHeight="1">
      <c r="A118">
        <v>116.0</v>
      </c>
      <c r="B118">
        <v>153.0</v>
      </c>
      <c r="C118">
        <v>77.5</v>
      </c>
      <c r="D118">
        <v>3.0</v>
      </c>
      <c r="E118" t="str">
        <f t="shared" si="1"/>
        <v>3.4625</v>
      </c>
      <c r="F118">
        <v>2.0</v>
      </c>
      <c r="G118">
        <v>4.0</v>
      </c>
      <c r="H118" t="str">
        <f t="shared" si="2"/>
        <v>8</v>
      </c>
      <c r="I118">
        <v>102.0</v>
      </c>
      <c r="J118" t="str">
        <f t="shared" si="3"/>
        <v>323.85</v>
      </c>
      <c r="K118" t="str">
        <f t="shared" si="4"/>
        <v>1065.4665</v>
      </c>
      <c r="L118" t="str">
        <f t="shared" si="5"/>
        <v>13.31833125</v>
      </c>
      <c r="M118" t="str">
        <f t="shared" si="6"/>
        <v>329</v>
      </c>
      <c r="N118" t="s">
        <v>187</v>
      </c>
      <c r="O118" t="s">
        <v>354</v>
      </c>
      <c r="P118" t="s">
        <v>355</v>
      </c>
    </row>
    <row r="119" ht="15.75" customHeight="1">
      <c r="A119">
        <v>117.0</v>
      </c>
      <c r="B119">
        <v>85.0</v>
      </c>
      <c r="C119">
        <v>72.0</v>
      </c>
      <c r="D119">
        <v>3.0</v>
      </c>
      <c r="E119" t="str">
        <f t="shared" si="1"/>
        <v>4.2</v>
      </c>
      <c r="F119">
        <v>2.0</v>
      </c>
      <c r="G119">
        <v>4.0</v>
      </c>
      <c r="H119" t="str">
        <f t="shared" si="2"/>
        <v>8</v>
      </c>
      <c r="I119">
        <v>96.0</v>
      </c>
      <c r="J119" t="str">
        <f t="shared" si="3"/>
        <v>304.8</v>
      </c>
      <c r="K119" t="str">
        <f t="shared" si="4"/>
        <v>588.264</v>
      </c>
      <c r="L119" t="str">
        <f t="shared" si="5"/>
        <v>7.3533</v>
      </c>
      <c r="M119" t="str">
        <f t="shared" si="6"/>
        <v>193</v>
      </c>
      <c r="N119" t="s">
        <v>182</v>
      </c>
      <c r="O119" t="s">
        <v>356</v>
      </c>
      <c r="P119" t="s">
        <v>357</v>
      </c>
    </row>
    <row r="120" ht="15.75" customHeight="1">
      <c r="A120">
        <v>118.0</v>
      </c>
      <c r="B120">
        <v>60.0</v>
      </c>
      <c r="C120">
        <v>110.0</v>
      </c>
      <c r="D120">
        <v>3.0</v>
      </c>
      <c r="E120" t="str">
        <f t="shared" si="1"/>
        <v>4.3</v>
      </c>
      <c r="F120">
        <v>3.0</v>
      </c>
      <c r="G120">
        <v>3.0</v>
      </c>
      <c r="H120" t="str">
        <f t="shared" si="2"/>
        <v>9</v>
      </c>
      <c r="I120">
        <v>108.0</v>
      </c>
      <c r="J120" t="str">
        <f t="shared" si="3"/>
        <v>342.9</v>
      </c>
      <c r="K120" t="str">
        <f t="shared" si="4"/>
        <v>706.374</v>
      </c>
      <c r="L120" t="str">
        <f t="shared" si="5"/>
        <v>7.8486</v>
      </c>
      <c r="M120" t="str">
        <f t="shared" si="6"/>
        <v>206</v>
      </c>
      <c r="N120" t="s">
        <v>182</v>
      </c>
      <c r="O120" t="s">
        <v>358</v>
      </c>
      <c r="P120" t="s">
        <v>359</v>
      </c>
    </row>
    <row r="121" ht="15.75" customHeight="1">
      <c r="A121">
        <v>119.0</v>
      </c>
      <c r="B121">
        <v>93.0</v>
      </c>
      <c r="C121">
        <v>73.0</v>
      </c>
      <c r="D121">
        <v>3.0</v>
      </c>
      <c r="E121" t="str">
        <f t="shared" si="1"/>
        <v>3.2</v>
      </c>
      <c r="F121">
        <v>4.0</v>
      </c>
      <c r="G121">
        <v>4.0</v>
      </c>
      <c r="H121" t="str">
        <f t="shared" si="2"/>
        <v>16</v>
      </c>
      <c r="I121">
        <v>96.0</v>
      </c>
      <c r="J121" t="str">
        <f t="shared" si="3"/>
        <v>304.8</v>
      </c>
      <c r="K121" t="str">
        <f t="shared" si="4"/>
        <v>1222.248</v>
      </c>
      <c r="L121" t="str">
        <f t="shared" si="5"/>
        <v>7.63905</v>
      </c>
      <c r="M121" t="str">
        <f t="shared" si="6"/>
        <v>401</v>
      </c>
      <c r="N121" t="s">
        <v>182</v>
      </c>
      <c r="O121" t="s">
        <v>360</v>
      </c>
    </row>
    <row r="122" ht="15.75" customHeight="1">
      <c r="A122">
        <v>120.0</v>
      </c>
      <c r="B122">
        <v>100.0</v>
      </c>
      <c r="C122">
        <v>135.0</v>
      </c>
      <c r="D122">
        <v>3.0</v>
      </c>
      <c r="E122" t="str">
        <f t="shared" si="1"/>
        <v>4.7</v>
      </c>
      <c r="F122">
        <v>4.0</v>
      </c>
      <c r="G122">
        <v>4.0</v>
      </c>
      <c r="H122" t="str">
        <f t="shared" si="2"/>
        <v>16</v>
      </c>
      <c r="I122">
        <v>176.0</v>
      </c>
      <c r="J122" t="str">
        <f t="shared" si="3"/>
        <v>558.8</v>
      </c>
      <c r="K122" t="str">
        <f t="shared" si="4"/>
        <v>2397.252</v>
      </c>
      <c r="L122" t="str">
        <f t="shared" si="5"/>
        <v>14.982825</v>
      </c>
      <c r="M122" t="str">
        <f t="shared" si="6"/>
        <v>429</v>
      </c>
      <c r="N122" t="s">
        <v>182</v>
      </c>
      <c r="O122" t="s">
        <v>361</v>
      </c>
    </row>
    <row r="123" ht="15.75" customHeight="1">
      <c r="A123">
        <v>121.0</v>
      </c>
      <c r="B123">
        <v>270.0</v>
      </c>
      <c r="C123">
        <v>111.0</v>
      </c>
      <c r="D123">
        <v>3.0</v>
      </c>
      <c r="E123" t="str">
        <f t="shared" si="1"/>
        <v>3.3</v>
      </c>
      <c r="F123">
        <v>2.0</v>
      </c>
      <c r="G123">
        <v>3.0</v>
      </c>
      <c r="H123" t="str">
        <f t="shared" si="2"/>
        <v>6</v>
      </c>
      <c r="I123">
        <v>108.0</v>
      </c>
      <c r="J123" t="str">
        <f t="shared" si="3"/>
        <v>342.9</v>
      </c>
      <c r="K123" t="str">
        <f t="shared" si="4"/>
        <v>1930.527</v>
      </c>
      <c r="L123" t="str">
        <f t="shared" si="5"/>
        <v>32.17545</v>
      </c>
      <c r="M123" t="str">
        <f t="shared" si="6"/>
        <v>563</v>
      </c>
      <c r="N123" t="s">
        <v>187</v>
      </c>
      <c r="O123" t="s">
        <v>362</v>
      </c>
      <c r="P123" t="s">
        <v>363</v>
      </c>
    </row>
    <row r="124" ht="15.75" customHeight="1">
      <c r="A124">
        <v>122.0</v>
      </c>
      <c r="B124">
        <v>158.0</v>
      </c>
      <c r="C124">
        <v>73.0</v>
      </c>
      <c r="D124">
        <v>3.0</v>
      </c>
      <c r="E124" t="str">
        <f t="shared" si="1"/>
        <v>3.2</v>
      </c>
      <c r="F124">
        <v>2.0</v>
      </c>
      <c r="G124">
        <v>4.0</v>
      </c>
      <c r="H124" t="str">
        <f t="shared" si="2"/>
        <v>8</v>
      </c>
      <c r="I124">
        <v>96.0</v>
      </c>
      <c r="J124" t="str">
        <f t="shared" si="3"/>
        <v>304.8</v>
      </c>
      <c r="K124" t="str">
        <f t="shared" si="4"/>
        <v>1033.272</v>
      </c>
      <c r="L124" t="str">
        <f t="shared" si="5"/>
        <v>12.9159</v>
      </c>
      <c r="M124" t="str">
        <f t="shared" si="6"/>
        <v>339</v>
      </c>
      <c r="N124" t="s">
        <v>187</v>
      </c>
      <c r="O124" t="s">
        <v>364</v>
      </c>
      <c r="P124" t="s">
        <v>365</v>
      </c>
    </row>
    <row r="125" ht="15.75" customHeight="1">
      <c r="A125">
        <v>123.0</v>
      </c>
      <c r="B125">
        <v>250.163</v>
      </c>
      <c r="C125">
        <v>111.0</v>
      </c>
      <c r="D125">
        <v>3.0</v>
      </c>
      <c r="E125" t="str">
        <f t="shared" si="1"/>
        <v>3.3</v>
      </c>
      <c r="F125">
        <v>1.0</v>
      </c>
      <c r="G125">
        <v>3.0</v>
      </c>
      <c r="H125" t="str">
        <f t="shared" si="2"/>
        <v>3</v>
      </c>
      <c r="I125">
        <v>108.0</v>
      </c>
      <c r="J125" t="str">
        <f t="shared" si="3"/>
        <v>342.9</v>
      </c>
      <c r="K125" t="str">
        <f t="shared" si="4"/>
        <v>926.388927</v>
      </c>
      <c r="L125" t="str">
        <f t="shared" si="5"/>
        <v>30.8796309</v>
      </c>
      <c r="M125" t="str">
        <f t="shared" si="6"/>
        <v>270.163</v>
      </c>
      <c r="N125" t="s">
        <v>187</v>
      </c>
      <c r="O125" t="s">
        <v>366</v>
      </c>
      <c r="P125" t="s">
        <v>363</v>
      </c>
    </row>
    <row r="126" ht="15.75" customHeight="1">
      <c r="A126">
        <v>124.0</v>
      </c>
      <c r="B126">
        <v>25.0</v>
      </c>
      <c r="C126">
        <v>197.0</v>
      </c>
      <c r="D126">
        <v>3.0</v>
      </c>
      <c r="E126" t="str">
        <f t="shared" si="1"/>
        <v>3.025</v>
      </c>
      <c r="F126">
        <v>8.0</v>
      </c>
      <c r="G126">
        <v>2.0</v>
      </c>
      <c r="H126" t="str">
        <f t="shared" si="2"/>
        <v>16</v>
      </c>
      <c r="I126">
        <v>126.0</v>
      </c>
      <c r="J126" t="str">
        <f t="shared" si="3"/>
        <v>400.05</v>
      </c>
      <c r="K126" t="str">
        <f t="shared" si="4"/>
        <v>964.1205</v>
      </c>
      <c r="L126" t="str">
        <f t="shared" si="5"/>
        <v>6.025753125</v>
      </c>
      <c r="M126" t="str">
        <f t="shared" si="6"/>
        <v>241</v>
      </c>
      <c r="N126" t="s">
        <v>182</v>
      </c>
      <c r="O126" t="s">
        <v>367</v>
      </c>
      <c r="P126" t="s">
        <v>363</v>
      </c>
    </row>
    <row r="127" ht="15.75" customHeight="1">
      <c r="A127">
        <v>125.0</v>
      </c>
      <c r="B127">
        <v>105.0</v>
      </c>
      <c r="C127">
        <v>340.0</v>
      </c>
      <c r="D127">
        <v>3.0</v>
      </c>
      <c r="E127" t="str">
        <f t="shared" si="1"/>
        <v>2.9</v>
      </c>
      <c r="F127">
        <v>3.0</v>
      </c>
      <c r="G127">
        <v>1.0</v>
      </c>
      <c r="H127" t="str">
        <f t="shared" si="2"/>
        <v>3</v>
      </c>
      <c r="I127">
        <v>108.0</v>
      </c>
      <c r="J127" t="str">
        <f t="shared" si="3"/>
        <v>342.9</v>
      </c>
      <c r="K127" t="str">
        <f t="shared" si="4"/>
        <v>1169.289</v>
      </c>
      <c r="L127" t="str">
        <f t="shared" si="5"/>
        <v>38.9763</v>
      </c>
      <c r="M127" t="str">
        <f t="shared" si="6"/>
        <v>341</v>
      </c>
      <c r="N127" t="s">
        <v>187</v>
      </c>
      <c r="O127" t="s">
        <v>368</v>
      </c>
      <c r="P127" t="s">
        <v>363</v>
      </c>
    </row>
    <row r="128" ht="15.75" customHeight="1">
      <c r="A128">
        <v>126.0</v>
      </c>
      <c r="B128">
        <v>88.0</v>
      </c>
      <c r="C128">
        <v>108.0</v>
      </c>
      <c r="D128">
        <v>4.0</v>
      </c>
      <c r="E128" t="str">
        <f t="shared" si="1"/>
        <v>3.125</v>
      </c>
      <c r="F128">
        <v>2.0</v>
      </c>
      <c r="G128">
        <v>3.0</v>
      </c>
      <c r="H128" t="str">
        <f t="shared" si="2"/>
        <v>6</v>
      </c>
      <c r="I128">
        <v>105.0</v>
      </c>
      <c r="J128" t="str">
        <f t="shared" si="3"/>
        <v>333.375</v>
      </c>
      <c r="K128" t="str">
        <f t="shared" si="4"/>
        <v>670.08375</v>
      </c>
      <c r="L128" t="str">
        <f t="shared" si="5"/>
        <v>11.1680625</v>
      </c>
      <c r="M128" t="str">
        <f t="shared" si="6"/>
        <v>201</v>
      </c>
      <c r="N128" t="s">
        <v>182</v>
      </c>
      <c r="O128" t="s">
        <v>369</v>
      </c>
      <c r="P128" t="s">
        <v>370</v>
      </c>
    </row>
    <row r="129" ht="15.75" customHeight="1">
      <c r="A129">
        <v>127.0</v>
      </c>
      <c r="B129">
        <v>82.0</v>
      </c>
      <c r="C129">
        <v>340.0</v>
      </c>
      <c r="D129">
        <v>5.0</v>
      </c>
      <c r="E129" t="str">
        <f t="shared" si="1"/>
        <v>2.9</v>
      </c>
      <c r="F129">
        <v>2.0</v>
      </c>
      <c r="G129">
        <v>1.0</v>
      </c>
      <c r="H129" t="str">
        <f t="shared" si="2"/>
        <v>2</v>
      </c>
      <c r="I129">
        <v>108.0</v>
      </c>
      <c r="J129" t="str">
        <f t="shared" si="3"/>
        <v>342.9</v>
      </c>
      <c r="K129" t="str">
        <f t="shared" si="4"/>
        <v>654.939</v>
      </c>
      <c r="L129" t="str">
        <f t="shared" si="5"/>
        <v>32.74695</v>
      </c>
      <c r="M129" t="str">
        <f t="shared" si="6"/>
        <v>191</v>
      </c>
      <c r="N129" t="s">
        <v>187</v>
      </c>
      <c r="O129" t="s">
        <v>371</v>
      </c>
      <c r="P129" t="s">
        <v>363</v>
      </c>
    </row>
    <row r="130" ht="15.75" customHeight="1">
      <c r="A130">
        <v>128.0</v>
      </c>
      <c r="B130">
        <v>115.0</v>
      </c>
      <c r="C130">
        <v>78.0</v>
      </c>
      <c r="D130">
        <v>4.0</v>
      </c>
      <c r="E130" t="str">
        <f t="shared" si="1"/>
        <v>2.9625</v>
      </c>
      <c r="F130">
        <v>2.0</v>
      </c>
      <c r="G130">
        <v>4.0</v>
      </c>
      <c r="H130" t="str">
        <f t="shared" si="2"/>
        <v>8</v>
      </c>
      <c r="I130">
        <v>102.0</v>
      </c>
      <c r="J130" t="str">
        <f t="shared" si="3"/>
        <v>323.85</v>
      </c>
      <c r="K130" t="str">
        <f t="shared" si="4"/>
        <v>825.8175</v>
      </c>
      <c r="L130" t="str">
        <f t="shared" si="5"/>
        <v>10.32271875</v>
      </c>
      <c r="M130" t="str">
        <f t="shared" si="6"/>
        <v>255</v>
      </c>
      <c r="N130" t="s">
        <v>182</v>
      </c>
      <c r="O130" t="s">
        <v>372</v>
      </c>
      <c r="P130" t="s">
        <v>373</v>
      </c>
    </row>
    <row r="131" ht="15.75" customHeight="1">
      <c r="A131">
        <v>129.0</v>
      </c>
      <c r="B131">
        <v>36.0</v>
      </c>
      <c r="C131">
        <v>105.0</v>
      </c>
      <c r="D131">
        <v>3.0</v>
      </c>
      <c r="E131" t="str">
        <f t="shared" si="1"/>
        <v>2.95</v>
      </c>
      <c r="F131">
        <v>10.0</v>
      </c>
      <c r="G131">
        <v>3.0</v>
      </c>
      <c r="H131" t="str">
        <f t="shared" si="2"/>
        <v>30</v>
      </c>
      <c r="I131">
        <v>102.0</v>
      </c>
      <c r="J131" t="str">
        <f t="shared" si="3"/>
        <v>323.85</v>
      </c>
      <c r="K131" t="str">
        <f t="shared" si="4"/>
        <v>1318.0695</v>
      </c>
      <c r="L131" t="str">
        <f t="shared" si="5"/>
        <v>4.393565</v>
      </c>
      <c r="M131" t="str">
        <f t="shared" si="6"/>
        <v>407</v>
      </c>
      <c r="N131" t="s">
        <v>182</v>
      </c>
      <c r="O131" t="s">
        <v>374</v>
      </c>
    </row>
    <row r="132" ht="15.75" customHeight="1">
      <c r="A132">
        <v>130.0</v>
      </c>
      <c r="B132">
        <v>40.0</v>
      </c>
      <c r="C132">
        <v>111.8</v>
      </c>
      <c r="D132">
        <v>3.0</v>
      </c>
      <c r="E132" t="str">
        <f t="shared" si="1"/>
        <v>2.5</v>
      </c>
      <c r="F132">
        <v>8.0</v>
      </c>
      <c r="G132">
        <v>3.0</v>
      </c>
      <c r="H132" t="str">
        <f t="shared" si="2"/>
        <v>24</v>
      </c>
      <c r="I132">
        <v>108.0</v>
      </c>
      <c r="J132" t="str">
        <f t="shared" si="3"/>
        <v>342.9</v>
      </c>
      <c r="K132" t="str">
        <f t="shared" si="4"/>
        <v>1237.869</v>
      </c>
      <c r="L132" t="str">
        <f t="shared" si="5"/>
        <v>5.1577875</v>
      </c>
      <c r="M132" t="str">
        <f t="shared" si="6"/>
        <v>361</v>
      </c>
      <c r="N132" t="s">
        <v>182</v>
      </c>
      <c r="O132" t="s">
        <v>375</v>
      </c>
    </row>
    <row r="133" ht="15.75" customHeight="1">
      <c r="A133">
        <v>131.0</v>
      </c>
      <c r="B133">
        <v>108.0</v>
      </c>
      <c r="C133">
        <v>108.0</v>
      </c>
      <c r="D133">
        <v>3.0</v>
      </c>
      <c r="E133" t="str">
        <f t="shared" si="1"/>
        <v>3.125</v>
      </c>
      <c r="F133">
        <v>3.0</v>
      </c>
      <c r="G133">
        <v>3.0</v>
      </c>
      <c r="H133" t="str">
        <f t="shared" si="2"/>
        <v>9</v>
      </c>
      <c r="I133">
        <v>105.0</v>
      </c>
      <c r="J133" t="str">
        <f t="shared" si="3"/>
        <v>333.375</v>
      </c>
      <c r="K133" t="str">
        <f t="shared" si="4"/>
        <v>1166.8125</v>
      </c>
      <c r="L133" t="str">
        <f t="shared" si="5"/>
        <v>12.96458333</v>
      </c>
      <c r="M133" t="str">
        <f t="shared" si="6"/>
        <v>350</v>
      </c>
      <c r="N133" t="s">
        <v>182</v>
      </c>
      <c r="O133" t="s">
        <v>376</v>
      </c>
    </row>
    <row r="134" ht="15.75" customHeight="1">
      <c r="A134">
        <v>132.0</v>
      </c>
      <c r="B134">
        <v>60.0</v>
      </c>
      <c r="C134">
        <v>224.0</v>
      </c>
      <c r="D134">
        <v>4.0</v>
      </c>
      <c r="E134" t="str">
        <f t="shared" si="1"/>
        <v>3.0125</v>
      </c>
      <c r="F134">
        <v>6.0</v>
      </c>
      <c r="G134">
        <v>2.0</v>
      </c>
      <c r="H134" t="str">
        <f t="shared" si="2"/>
        <v>12</v>
      </c>
      <c r="I134">
        <v>143.0</v>
      </c>
      <c r="J134" t="str">
        <f t="shared" si="3"/>
        <v>454.025</v>
      </c>
      <c r="K134" t="str">
        <f t="shared" si="4"/>
        <v>1820.64025</v>
      </c>
      <c r="L134" t="str">
        <f t="shared" si="5"/>
        <v>15.17200208</v>
      </c>
      <c r="M134" t="str">
        <f t="shared" si="6"/>
        <v>401</v>
      </c>
      <c r="N134" t="s">
        <v>187</v>
      </c>
      <c r="O134" t="s">
        <v>377</v>
      </c>
      <c r="P134" t="s">
        <v>378</v>
      </c>
    </row>
    <row r="135" ht="15.75" customHeight="1">
      <c r="A135">
        <v>133.0</v>
      </c>
      <c r="B135">
        <v>60.0</v>
      </c>
      <c r="C135">
        <v>35.0</v>
      </c>
      <c r="D135">
        <v>3.0</v>
      </c>
      <c r="E135" t="str">
        <f t="shared" si="1"/>
        <v>3.1</v>
      </c>
      <c r="F135">
        <v>6.0</v>
      </c>
      <c r="G135">
        <v>9.0</v>
      </c>
      <c r="H135" t="str">
        <f t="shared" si="2"/>
        <v>54</v>
      </c>
      <c r="I135">
        <v>108.0</v>
      </c>
      <c r="J135" t="str">
        <f t="shared" si="3"/>
        <v>342.9</v>
      </c>
      <c r="K135" t="str">
        <f t="shared" si="4"/>
        <v>1354.455</v>
      </c>
      <c r="L135" t="str">
        <f t="shared" si="5"/>
        <v>2.50825</v>
      </c>
      <c r="M135" t="str">
        <f t="shared" si="6"/>
        <v>395</v>
      </c>
      <c r="N135" t="s">
        <v>182</v>
      </c>
      <c r="O135" t="s">
        <v>379</v>
      </c>
      <c r="P135" t="s">
        <v>380</v>
      </c>
    </row>
    <row r="136" ht="15.75" customHeight="1">
      <c r="A136">
        <v>134.0</v>
      </c>
      <c r="B136">
        <v>74.0</v>
      </c>
      <c r="C136">
        <v>260.0</v>
      </c>
      <c r="D136">
        <v>4.0</v>
      </c>
      <c r="E136" t="str">
        <f t="shared" si="1"/>
        <v>19.4</v>
      </c>
      <c r="F136">
        <v>5.0</v>
      </c>
      <c r="G136">
        <v>2.0</v>
      </c>
      <c r="H136" t="str">
        <f t="shared" si="2"/>
        <v>10</v>
      </c>
      <c r="I136">
        <v>176.0</v>
      </c>
      <c r="J136" t="str">
        <f t="shared" si="3"/>
        <v>558.8</v>
      </c>
      <c r="K136" t="str">
        <f t="shared" si="4"/>
        <v>2274.316</v>
      </c>
      <c r="L136" t="str">
        <f t="shared" si="5"/>
        <v>22.74316</v>
      </c>
      <c r="M136" t="str">
        <f t="shared" si="6"/>
        <v>407</v>
      </c>
      <c r="N136" t="s">
        <v>182</v>
      </c>
      <c r="O136" t="s">
        <v>381</v>
      </c>
    </row>
    <row r="137" ht="15.75" customHeight="1">
      <c r="A137">
        <v>135.0</v>
      </c>
      <c r="B137">
        <v>171.0</v>
      </c>
      <c r="C137">
        <v>140.0</v>
      </c>
      <c r="D137">
        <v>4.0</v>
      </c>
      <c r="E137" t="str">
        <f t="shared" si="1"/>
        <v>2.875</v>
      </c>
      <c r="F137">
        <v>2.0</v>
      </c>
      <c r="G137">
        <v>3.0</v>
      </c>
      <c r="H137" t="str">
        <f t="shared" si="2"/>
        <v>6</v>
      </c>
      <c r="I137">
        <v>135.0</v>
      </c>
      <c r="J137" t="str">
        <f t="shared" si="3"/>
        <v>428.625</v>
      </c>
      <c r="K137" t="str">
        <f t="shared" si="4"/>
        <v>1573.05375</v>
      </c>
      <c r="L137" t="str">
        <f t="shared" si="5"/>
        <v>26.2175625</v>
      </c>
      <c r="M137" t="str">
        <f t="shared" si="6"/>
        <v>367</v>
      </c>
      <c r="N137" t="s">
        <v>187</v>
      </c>
      <c r="O137" t="s">
        <v>382</v>
      </c>
      <c r="P137" t="s">
        <v>383</v>
      </c>
    </row>
    <row r="138" ht="15.75" customHeight="1">
      <c r="A138">
        <v>136.0</v>
      </c>
      <c r="B138">
        <v>112.0</v>
      </c>
      <c r="C138">
        <v>111.0</v>
      </c>
      <c r="D138">
        <v>4.0</v>
      </c>
      <c r="E138" t="str">
        <f t="shared" si="1"/>
        <v>3.3</v>
      </c>
      <c r="F138">
        <v>2.0</v>
      </c>
      <c r="G138">
        <v>3.0</v>
      </c>
      <c r="H138" t="str">
        <f t="shared" si="2"/>
        <v>6</v>
      </c>
      <c r="I138">
        <v>108.0</v>
      </c>
      <c r="J138" t="str">
        <f t="shared" si="3"/>
        <v>342.9</v>
      </c>
      <c r="K138" t="str">
        <f t="shared" si="4"/>
        <v>853.821</v>
      </c>
      <c r="L138" t="str">
        <f t="shared" si="5"/>
        <v>14.23035</v>
      </c>
      <c r="M138" t="str">
        <f t="shared" si="6"/>
        <v>249</v>
      </c>
      <c r="N138" t="s">
        <v>182</v>
      </c>
      <c r="O138" t="s">
        <v>384</v>
      </c>
      <c r="P138" t="s">
        <v>385</v>
      </c>
    </row>
    <row r="139" ht="15.75" customHeight="1">
      <c r="A139">
        <v>137.0</v>
      </c>
      <c r="B139">
        <v>50.0</v>
      </c>
      <c r="C139">
        <v>124.0</v>
      </c>
      <c r="D139">
        <v>3.0</v>
      </c>
      <c r="E139" t="str">
        <f t="shared" si="1"/>
        <v>3</v>
      </c>
      <c r="F139">
        <v>7.0</v>
      </c>
      <c r="G139">
        <v>3.0</v>
      </c>
      <c r="H139" t="str">
        <f t="shared" si="2"/>
        <v>21</v>
      </c>
      <c r="I139">
        <v>120.0</v>
      </c>
      <c r="J139" t="str">
        <f t="shared" si="3"/>
        <v>381</v>
      </c>
      <c r="K139" t="str">
        <f t="shared" si="4"/>
        <v>1478.28</v>
      </c>
      <c r="L139" t="str">
        <f t="shared" si="5"/>
        <v>7.039428571</v>
      </c>
      <c r="M139" t="str">
        <f t="shared" si="6"/>
        <v>388</v>
      </c>
      <c r="N139" t="s">
        <v>182</v>
      </c>
      <c r="O139" t="s">
        <v>386</v>
      </c>
    </row>
    <row r="140" ht="15.75" customHeight="1">
      <c r="A140">
        <v>138.0</v>
      </c>
      <c r="B140">
        <v>160.0</v>
      </c>
      <c r="C140">
        <v>140.0</v>
      </c>
      <c r="D140">
        <v>3.0</v>
      </c>
      <c r="E140" t="str">
        <f t="shared" si="1"/>
        <v>2.875</v>
      </c>
      <c r="F140">
        <v>2.0</v>
      </c>
      <c r="G140">
        <v>3.0</v>
      </c>
      <c r="H140" t="str">
        <f t="shared" si="2"/>
        <v>6</v>
      </c>
      <c r="I140">
        <v>135.0</v>
      </c>
      <c r="J140" t="str">
        <f t="shared" si="3"/>
        <v>428.625</v>
      </c>
      <c r="K140" t="str">
        <f t="shared" si="4"/>
        <v>1470.18375</v>
      </c>
      <c r="L140" t="str">
        <f t="shared" si="5"/>
        <v>24.5030625</v>
      </c>
      <c r="M140" t="str">
        <f t="shared" si="6"/>
        <v>343</v>
      </c>
      <c r="N140" t="s">
        <v>182</v>
      </c>
      <c r="O140" t="s">
        <v>387</v>
      </c>
    </row>
    <row r="141" ht="15.75" customHeight="1">
      <c r="A141">
        <v>139.0</v>
      </c>
      <c r="B141">
        <v>113.0</v>
      </c>
      <c r="C141">
        <v>80.0</v>
      </c>
      <c r="D141">
        <v>3.0</v>
      </c>
      <c r="E141" t="str">
        <f t="shared" si="1"/>
        <v>3.34375</v>
      </c>
      <c r="F141">
        <v>2.0</v>
      </c>
      <c r="G141">
        <v>4.0</v>
      </c>
      <c r="H141" t="str">
        <f t="shared" si="2"/>
        <v>8</v>
      </c>
      <c r="I141">
        <v>105.0</v>
      </c>
      <c r="J141" t="str">
        <f t="shared" si="3"/>
        <v>333.375</v>
      </c>
      <c r="K141" t="str">
        <f t="shared" si="4"/>
        <v>830.10375</v>
      </c>
      <c r="L141" t="str">
        <f t="shared" si="5"/>
        <v>10.37629688</v>
      </c>
      <c r="M141" t="str">
        <f t="shared" si="6"/>
        <v>249</v>
      </c>
      <c r="N141" t="s">
        <v>182</v>
      </c>
      <c r="O141" t="s">
        <v>388</v>
      </c>
    </row>
    <row r="142" ht="15.75" customHeight="1">
      <c r="A142">
        <v>140.0</v>
      </c>
      <c r="B142">
        <v>130.0</v>
      </c>
      <c r="C142">
        <v>152.1</v>
      </c>
      <c r="D142">
        <v>3.0</v>
      </c>
      <c r="E142" t="str">
        <f t="shared" si="1"/>
        <v>9.825</v>
      </c>
      <c r="F142">
        <v>3.0</v>
      </c>
      <c r="G142">
        <v>2.0</v>
      </c>
      <c r="H142" t="str">
        <f t="shared" si="2"/>
        <v>6</v>
      </c>
      <c r="I142">
        <v>102.0</v>
      </c>
      <c r="J142" t="str">
        <f t="shared" si="3"/>
        <v>323.85</v>
      </c>
      <c r="K142" t="str">
        <f t="shared" si="4"/>
        <v>1347.216</v>
      </c>
      <c r="L142" t="str">
        <f t="shared" si="5"/>
        <v>22.4536</v>
      </c>
      <c r="M142" t="str">
        <f t="shared" si="6"/>
        <v>416</v>
      </c>
      <c r="N142" t="s">
        <v>187</v>
      </c>
      <c r="O142" t="s">
        <v>389</v>
      </c>
      <c r="P142" t="s">
        <v>390</v>
      </c>
    </row>
    <row r="143" ht="15.75" customHeight="1">
      <c r="A143">
        <v>141.0</v>
      </c>
      <c r="B143">
        <v>50.0</v>
      </c>
      <c r="C143">
        <v>183.0</v>
      </c>
      <c r="D143">
        <v>4.0</v>
      </c>
      <c r="E143" t="str">
        <f t="shared" si="1"/>
        <v>3.266666667</v>
      </c>
      <c r="F143">
        <v>4.0</v>
      </c>
      <c r="G143">
        <v>3.0</v>
      </c>
      <c r="H143" t="str">
        <f t="shared" si="2"/>
        <v>12</v>
      </c>
      <c r="I143">
        <v>176.0</v>
      </c>
      <c r="J143" t="str">
        <f t="shared" si="3"/>
        <v>558.8</v>
      </c>
      <c r="K143" t="str">
        <f t="shared" si="4"/>
        <v>1302.004</v>
      </c>
      <c r="L143" t="str">
        <f t="shared" si="5"/>
        <v>10.85003333</v>
      </c>
      <c r="M143" t="str">
        <f t="shared" si="6"/>
        <v>233</v>
      </c>
      <c r="N143" t="s">
        <v>182</v>
      </c>
      <c r="O143" t="s">
        <v>391</v>
      </c>
      <c r="P143" t="s">
        <v>392</v>
      </c>
    </row>
    <row r="144" ht="15.75" customHeight="1">
      <c r="A144">
        <v>142.0</v>
      </c>
      <c r="B144">
        <v>100.0</v>
      </c>
      <c r="C144">
        <v>197.0</v>
      </c>
      <c r="D144">
        <v>3.0</v>
      </c>
      <c r="E144" t="str">
        <f t="shared" si="1"/>
        <v>3.025</v>
      </c>
      <c r="F144">
        <v>4.0</v>
      </c>
      <c r="G144">
        <v>2.0</v>
      </c>
      <c r="H144" t="str">
        <f t="shared" si="2"/>
        <v>8</v>
      </c>
      <c r="I144">
        <v>126.0</v>
      </c>
      <c r="J144" t="str">
        <f t="shared" si="3"/>
        <v>400.05</v>
      </c>
      <c r="K144" t="str">
        <f t="shared" si="4"/>
        <v>1716.2145</v>
      </c>
      <c r="L144" t="str">
        <f t="shared" si="5"/>
        <v>21.45268125</v>
      </c>
      <c r="M144" t="str">
        <f t="shared" si="6"/>
        <v>429</v>
      </c>
      <c r="N144" t="s">
        <v>182</v>
      </c>
      <c r="O144" t="s">
        <v>393</v>
      </c>
    </row>
    <row r="145" ht="15.75" customHeight="1">
      <c r="A145">
        <v>143.0</v>
      </c>
      <c r="B145">
        <v>70.0</v>
      </c>
      <c r="C145">
        <v>275.0</v>
      </c>
      <c r="D145">
        <v>4.0</v>
      </c>
      <c r="E145" t="str">
        <f t="shared" si="1"/>
        <v>4.4</v>
      </c>
      <c r="F145">
        <v>5.0</v>
      </c>
      <c r="G145">
        <v>2.0</v>
      </c>
      <c r="H145" t="str">
        <f t="shared" si="2"/>
        <v>10</v>
      </c>
      <c r="I145">
        <v>176.0</v>
      </c>
      <c r="J145" t="str">
        <f t="shared" si="3"/>
        <v>558.8</v>
      </c>
      <c r="K145" t="str">
        <f t="shared" si="4"/>
        <v>2162.556</v>
      </c>
      <c r="L145" t="str">
        <f t="shared" si="5"/>
        <v>21.62556</v>
      </c>
      <c r="M145" t="str">
        <f t="shared" si="6"/>
        <v>387</v>
      </c>
      <c r="N145" t="s">
        <v>182</v>
      </c>
      <c r="O145" t="s">
        <v>394</v>
      </c>
    </row>
    <row r="146" ht="15.75" customHeight="1">
      <c r="A146">
        <v>144.0</v>
      </c>
      <c r="B146">
        <v>88.0</v>
      </c>
      <c r="C146">
        <v>451.0</v>
      </c>
      <c r="D146">
        <v>4.0</v>
      </c>
      <c r="E146" t="str">
        <f t="shared" si="1"/>
        <v>3.025</v>
      </c>
      <c r="F146">
        <v>3.0</v>
      </c>
      <c r="G146">
        <v>1.0</v>
      </c>
      <c r="H146" t="str">
        <f t="shared" si="2"/>
        <v>3</v>
      </c>
      <c r="I146">
        <v>143.0</v>
      </c>
      <c r="J146" t="str">
        <f t="shared" si="3"/>
        <v>454.025</v>
      </c>
      <c r="K146" t="str">
        <f t="shared" si="4"/>
        <v>1330.29325</v>
      </c>
      <c r="L146" t="str">
        <f t="shared" si="5"/>
        <v>44.34310833</v>
      </c>
      <c r="M146" t="str">
        <f t="shared" si="6"/>
        <v>293</v>
      </c>
      <c r="N146" t="s">
        <v>182</v>
      </c>
      <c r="O146" t="s">
        <v>395</v>
      </c>
      <c r="P146" t="s">
        <v>396</v>
      </c>
    </row>
    <row r="147" ht="15.75" customHeight="1">
      <c r="A147">
        <v>145.0</v>
      </c>
      <c r="B147">
        <v>85.0</v>
      </c>
      <c r="C147">
        <v>100.0</v>
      </c>
      <c r="D147">
        <v>3.0</v>
      </c>
      <c r="E147" t="str">
        <f t="shared" si="1"/>
        <v>3.716666667</v>
      </c>
      <c r="F147">
        <v>4.0</v>
      </c>
      <c r="G147">
        <v>3.0</v>
      </c>
      <c r="H147" t="str">
        <f t="shared" si="2"/>
        <v>12</v>
      </c>
      <c r="I147">
        <v>98.0</v>
      </c>
      <c r="J147" t="str">
        <f t="shared" si="3"/>
        <v>311.15</v>
      </c>
      <c r="K147" t="str">
        <f t="shared" si="4"/>
        <v>1148.1435</v>
      </c>
      <c r="L147" t="str">
        <f t="shared" si="5"/>
        <v>9.5678625</v>
      </c>
      <c r="M147" t="str">
        <f t="shared" si="6"/>
        <v>369</v>
      </c>
      <c r="N147" t="s">
        <v>182</v>
      </c>
      <c r="O147" t="s">
        <v>397</v>
      </c>
    </row>
    <row r="148" ht="15.75" customHeight="1">
      <c r="A148">
        <v>146.0</v>
      </c>
      <c r="B148">
        <v>30.0</v>
      </c>
      <c r="C148">
        <v>15.0</v>
      </c>
      <c r="D148">
        <v>3.0</v>
      </c>
      <c r="E148" t="str">
        <f t="shared" si="1"/>
        <v>2.546052632</v>
      </c>
      <c r="F148">
        <v>8.0</v>
      </c>
      <c r="G148">
        <v>19.0</v>
      </c>
      <c r="H148" t="str">
        <f t="shared" si="2"/>
        <v>152</v>
      </c>
      <c r="I148">
        <v>105.0</v>
      </c>
      <c r="J148" t="str">
        <f t="shared" si="3"/>
        <v>333.375</v>
      </c>
      <c r="K148" t="str">
        <f t="shared" si="4"/>
        <v>936.78375</v>
      </c>
      <c r="L148" t="str">
        <f t="shared" si="5"/>
        <v>0.6163050987</v>
      </c>
      <c r="M148" t="str">
        <f t="shared" si="6"/>
        <v>281</v>
      </c>
      <c r="N148" t="s">
        <v>182</v>
      </c>
      <c r="O148" t="s">
        <v>398</v>
      </c>
    </row>
    <row r="149" ht="15.75" customHeight="1">
      <c r="A149">
        <v>147.0</v>
      </c>
      <c r="B149">
        <v>126.0</v>
      </c>
      <c r="C149">
        <v>197.0</v>
      </c>
      <c r="D149">
        <v>4.0</v>
      </c>
      <c r="E149" t="str">
        <f t="shared" si="1"/>
        <v>3.025</v>
      </c>
      <c r="F149">
        <v>2.0</v>
      </c>
      <c r="G149">
        <v>2.0</v>
      </c>
      <c r="H149" t="str">
        <f t="shared" si="2"/>
        <v>4</v>
      </c>
      <c r="I149">
        <v>126.0</v>
      </c>
      <c r="J149" t="str">
        <f t="shared" si="3"/>
        <v>400.05</v>
      </c>
      <c r="K149" t="str">
        <f t="shared" si="4"/>
        <v>1108.1385</v>
      </c>
      <c r="L149" t="str">
        <f t="shared" si="5"/>
        <v>27.7034625</v>
      </c>
      <c r="M149" t="str">
        <f t="shared" si="6"/>
        <v>277</v>
      </c>
      <c r="N149" t="s">
        <v>182</v>
      </c>
      <c r="O149" t="s">
        <v>399</v>
      </c>
      <c r="P149" t="s">
        <v>392</v>
      </c>
    </row>
    <row r="150" ht="15.75" customHeight="1">
      <c r="A150">
        <v>148.0</v>
      </c>
      <c r="B150">
        <v>131.0</v>
      </c>
      <c r="C150">
        <v>118.0</v>
      </c>
      <c r="D150">
        <v>4.0</v>
      </c>
      <c r="E150" t="str">
        <f t="shared" si="1"/>
        <v>3.44375</v>
      </c>
      <c r="F150">
        <v>2.0</v>
      </c>
      <c r="G150">
        <v>4.0</v>
      </c>
      <c r="H150" t="str">
        <f t="shared" si="2"/>
        <v>8</v>
      </c>
      <c r="I150">
        <v>153.0</v>
      </c>
      <c r="J150" t="str">
        <f t="shared" si="3"/>
        <v>485.775</v>
      </c>
      <c r="K150" t="str">
        <f t="shared" si="4"/>
        <v>1394.17425</v>
      </c>
      <c r="L150" t="str">
        <f t="shared" si="5"/>
        <v>17.42717813</v>
      </c>
      <c r="M150" t="str">
        <f t="shared" si="6"/>
        <v>287</v>
      </c>
      <c r="N150" t="s">
        <v>182</v>
      </c>
      <c r="O150" t="s">
        <v>400</v>
      </c>
      <c r="P150" t="s">
        <v>401</v>
      </c>
    </row>
    <row r="151" ht="15.75" customHeight="1">
      <c r="A151">
        <v>149.0</v>
      </c>
      <c r="B151">
        <v>60.0</v>
      </c>
      <c r="C151">
        <v>30.0</v>
      </c>
      <c r="D151">
        <v>3.0</v>
      </c>
      <c r="E151" t="str">
        <f t="shared" si="1"/>
        <v>3.866666667</v>
      </c>
      <c r="F151">
        <v>6.0</v>
      </c>
      <c r="G151">
        <v>9.0</v>
      </c>
      <c r="H151" t="str">
        <f t="shared" si="2"/>
        <v>54</v>
      </c>
      <c r="I151">
        <v>96.0</v>
      </c>
      <c r="J151" t="str">
        <f t="shared" si="3"/>
        <v>304.8</v>
      </c>
      <c r="K151" t="str">
        <f t="shared" si="4"/>
        <v>1203.96</v>
      </c>
      <c r="L151" t="str">
        <f t="shared" si="5"/>
        <v>2.229555556</v>
      </c>
      <c r="M151" t="str">
        <f t="shared" si="6"/>
        <v>395</v>
      </c>
      <c r="N151" t="s">
        <v>182</v>
      </c>
      <c r="O151" t="s">
        <v>402</v>
      </c>
    </row>
    <row r="152" ht="15.75" customHeight="1">
      <c r="A152">
        <v>150.0</v>
      </c>
      <c r="B152">
        <v>115.5</v>
      </c>
      <c r="C152">
        <v>58.0</v>
      </c>
      <c r="D152">
        <v>3.0</v>
      </c>
      <c r="E152" t="str">
        <f t="shared" si="1"/>
        <v>2.96</v>
      </c>
      <c r="F152">
        <v>3.0</v>
      </c>
      <c r="G152">
        <v>5.0</v>
      </c>
      <c r="H152" t="str">
        <f t="shared" si="2"/>
        <v>15</v>
      </c>
      <c r="I152">
        <v>96.0</v>
      </c>
      <c r="J152" t="str">
        <f t="shared" si="3"/>
        <v>304.8</v>
      </c>
      <c r="K152" t="str">
        <f t="shared" si="4"/>
        <v>1135.38</v>
      </c>
      <c r="L152" t="str">
        <f t="shared" si="5"/>
        <v>7.5692</v>
      </c>
      <c r="M152" t="str">
        <f t="shared" si="6"/>
        <v>372.5</v>
      </c>
      <c r="N152" t="s">
        <v>182</v>
      </c>
      <c r="O152" t="s">
        <v>403</v>
      </c>
      <c r="P152" t="s">
        <v>404</v>
      </c>
    </row>
    <row r="153" ht="15.75" customHeight="1">
      <c r="A153">
        <v>151.0</v>
      </c>
      <c r="B153">
        <v>115.0</v>
      </c>
      <c r="C153">
        <v>50.0</v>
      </c>
      <c r="D153">
        <v>3.0</v>
      </c>
      <c r="E153" t="str">
        <f t="shared" si="1"/>
        <v>3.975</v>
      </c>
      <c r="F153">
        <v>2.0</v>
      </c>
      <c r="G153">
        <v>6.0</v>
      </c>
      <c r="H153" t="str">
        <f t="shared" si="2"/>
        <v>12</v>
      </c>
      <c r="I153">
        <v>102.0</v>
      </c>
      <c r="J153" t="str">
        <f t="shared" si="3"/>
        <v>323.85</v>
      </c>
      <c r="K153" t="str">
        <f t="shared" si="4"/>
        <v>819.3405</v>
      </c>
      <c r="L153" t="str">
        <f t="shared" si="5"/>
        <v>6.8278375</v>
      </c>
      <c r="M153" t="str">
        <f t="shared" si="6"/>
        <v>253</v>
      </c>
      <c r="N153" t="s">
        <v>187</v>
      </c>
      <c r="O153" t="s">
        <v>405</v>
      </c>
      <c r="P153" t="s">
        <v>406</v>
      </c>
    </row>
    <row r="154" ht="15.75" customHeight="1">
      <c r="A154">
        <v>152.0</v>
      </c>
      <c r="B154">
        <v>70.0</v>
      </c>
      <c r="C154">
        <v>118.0</v>
      </c>
      <c r="D154">
        <v>3.0</v>
      </c>
      <c r="E154" t="str">
        <f t="shared" si="1"/>
        <v>3.44375</v>
      </c>
      <c r="F154">
        <v>4.0</v>
      </c>
      <c r="G154">
        <v>4.0</v>
      </c>
      <c r="H154" t="str">
        <f t="shared" si="2"/>
        <v>16</v>
      </c>
      <c r="I154">
        <v>153.0</v>
      </c>
      <c r="J154" t="str">
        <f t="shared" si="3"/>
        <v>485.775</v>
      </c>
      <c r="K154" t="str">
        <f t="shared" si="4"/>
        <v>1501.04475</v>
      </c>
      <c r="L154" t="str">
        <f t="shared" si="5"/>
        <v>9.381529688</v>
      </c>
      <c r="M154" t="str">
        <f t="shared" si="6"/>
        <v>309</v>
      </c>
      <c r="N154" t="s">
        <v>182</v>
      </c>
      <c r="O154" t="s">
        <v>407</v>
      </c>
    </row>
    <row r="155" ht="15.75" customHeight="1">
      <c r="A155">
        <v>153.0</v>
      </c>
      <c r="B155">
        <v>161.0</v>
      </c>
      <c r="C155">
        <v>140.0</v>
      </c>
      <c r="D155">
        <v>10.0</v>
      </c>
      <c r="E155" t="str">
        <f t="shared" si="1"/>
        <v>2.875</v>
      </c>
      <c r="F155">
        <v>2.0</v>
      </c>
      <c r="G155">
        <v>3.0</v>
      </c>
      <c r="H155" t="str">
        <f t="shared" si="2"/>
        <v>6</v>
      </c>
      <c r="I155">
        <v>135.0</v>
      </c>
      <c r="J155" t="str">
        <f t="shared" si="3"/>
        <v>428.625</v>
      </c>
      <c r="K155" t="str">
        <f t="shared" si="4"/>
        <v>1538.76375</v>
      </c>
      <c r="L155" t="str">
        <f t="shared" si="5"/>
        <v>25.6460625</v>
      </c>
      <c r="M155" t="str">
        <f t="shared" si="6"/>
        <v>359</v>
      </c>
      <c r="N155" t="s">
        <v>182</v>
      </c>
      <c r="O155" t="s">
        <v>408</v>
      </c>
      <c r="P155" t="s">
        <v>409</v>
      </c>
    </row>
    <row r="156" ht="15.75" customHeight="1">
      <c r="A156">
        <v>154.0</v>
      </c>
      <c r="B156">
        <v>160.0</v>
      </c>
      <c r="C156">
        <v>78.0</v>
      </c>
      <c r="D156">
        <v>3.0</v>
      </c>
      <c r="E156" t="str">
        <f t="shared" si="1"/>
        <v>2.9625</v>
      </c>
      <c r="F156">
        <v>2.0</v>
      </c>
      <c r="G156">
        <v>4.0</v>
      </c>
      <c r="H156" t="str">
        <f t="shared" si="2"/>
        <v>8</v>
      </c>
      <c r="I156">
        <v>102.0</v>
      </c>
      <c r="J156" t="str">
        <f t="shared" si="3"/>
        <v>323.85</v>
      </c>
      <c r="K156" t="str">
        <f t="shared" si="4"/>
        <v>1110.8055</v>
      </c>
      <c r="L156" t="str">
        <f t="shared" si="5"/>
        <v>13.88506875</v>
      </c>
      <c r="M156" t="str">
        <f t="shared" si="6"/>
        <v>343</v>
      </c>
      <c r="N156" t="s">
        <v>187</v>
      </c>
      <c r="O156" t="s">
        <v>410</v>
      </c>
      <c r="P156" t="s">
        <v>411</v>
      </c>
    </row>
    <row r="157" ht="15.75" customHeight="1">
      <c r="A157">
        <v>155.0</v>
      </c>
      <c r="B157">
        <v>85.0</v>
      </c>
      <c r="C157">
        <v>72.0</v>
      </c>
      <c r="D157">
        <v>5.0</v>
      </c>
      <c r="E157" t="str">
        <f t="shared" si="1"/>
        <v>4.2</v>
      </c>
      <c r="F157">
        <v>2.0</v>
      </c>
      <c r="G157">
        <v>4.0</v>
      </c>
      <c r="H157" t="str">
        <f t="shared" si="2"/>
        <v>8</v>
      </c>
      <c r="I157">
        <v>96.0</v>
      </c>
      <c r="J157" t="str">
        <f t="shared" si="3"/>
        <v>304.8</v>
      </c>
      <c r="K157" t="str">
        <f t="shared" si="4"/>
        <v>600.456</v>
      </c>
      <c r="L157" t="str">
        <f t="shared" si="5"/>
        <v>7.5057</v>
      </c>
      <c r="M157" t="str">
        <f t="shared" si="6"/>
        <v>197</v>
      </c>
      <c r="N157" t="s">
        <v>182</v>
      </c>
      <c r="O157" t="s">
        <v>412</v>
      </c>
      <c r="P157" t="s">
        <v>357</v>
      </c>
    </row>
    <row r="158" ht="15.75" customHeight="1">
      <c r="A158">
        <v>156.0</v>
      </c>
      <c r="B158">
        <v>36.0</v>
      </c>
      <c r="C158">
        <v>63.5</v>
      </c>
      <c r="D158">
        <v>3.0</v>
      </c>
      <c r="E158" t="str">
        <f t="shared" si="1"/>
        <v>3.175</v>
      </c>
      <c r="F158">
        <v>10.0</v>
      </c>
      <c r="G158">
        <v>5.0</v>
      </c>
      <c r="H158" t="str">
        <f t="shared" si="2"/>
        <v>50</v>
      </c>
      <c r="I158">
        <v>105.0</v>
      </c>
      <c r="J158" t="str">
        <f t="shared" si="3"/>
        <v>333.375</v>
      </c>
      <c r="K158" t="str">
        <f t="shared" si="4"/>
        <v>1356.83625</v>
      </c>
      <c r="L158" t="str">
        <f t="shared" si="5"/>
        <v>2.7136725</v>
      </c>
      <c r="M158" t="str">
        <f t="shared" si="6"/>
        <v>407</v>
      </c>
      <c r="N158" t="s">
        <v>187</v>
      </c>
      <c r="O158" t="s">
        <v>413</v>
      </c>
      <c r="P158" t="s">
        <v>414</v>
      </c>
    </row>
    <row r="159" ht="15.75" customHeight="1">
      <c r="A159">
        <v>157.0</v>
      </c>
      <c r="B159">
        <v>48.5</v>
      </c>
      <c r="C159">
        <v>68.5</v>
      </c>
      <c r="D159">
        <v>3.0</v>
      </c>
      <c r="E159" t="str">
        <f t="shared" si="1"/>
        <v>2.9375</v>
      </c>
      <c r="F159">
        <v>8.0</v>
      </c>
      <c r="G159">
        <v>6.0</v>
      </c>
      <c r="H159" t="str">
        <f t="shared" si="2"/>
        <v>48</v>
      </c>
      <c r="I159">
        <v>135.0</v>
      </c>
      <c r="J159" t="str">
        <f t="shared" si="3"/>
        <v>428.625</v>
      </c>
      <c r="K159" t="str">
        <f t="shared" si="4"/>
        <v>1838.80125</v>
      </c>
      <c r="L159" t="str">
        <f t="shared" si="5"/>
        <v>3.830835938</v>
      </c>
      <c r="M159" t="str">
        <f t="shared" si="6"/>
        <v>429</v>
      </c>
      <c r="N159" t="s">
        <v>187</v>
      </c>
      <c r="O159" t="s">
        <v>415</v>
      </c>
      <c r="P159" t="s">
        <v>416</v>
      </c>
    </row>
    <row r="160" ht="15.75" customHeight="1">
      <c r="A160">
        <v>158.0</v>
      </c>
      <c r="B160">
        <v>65.0</v>
      </c>
      <c r="C160">
        <v>92.0</v>
      </c>
      <c r="D160">
        <v>3.0</v>
      </c>
      <c r="E160" t="str">
        <f t="shared" si="1"/>
        <v>3.25</v>
      </c>
      <c r="F160">
        <v>6.0</v>
      </c>
      <c r="G160">
        <v>4.0</v>
      </c>
      <c r="H160" t="str">
        <f t="shared" si="2"/>
        <v>24</v>
      </c>
      <c r="I160">
        <v>120.0</v>
      </c>
      <c r="J160" t="str">
        <f t="shared" si="3"/>
        <v>381</v>
      </c>
      <c r="K160" t="str">
        <f t="shared" si="4"/>
        <v>1619.25</v>
      </c>
      <c r="L160" t="str">
        <f t="shared" si="5"/>
        <v>6.746875</v>
      </c>
      <c r="M160" t="str">
        <f t="shared" si="6"/>
        <v>425</v>
      </c>
      <c r="N160" t="s">
        <v>187</v>
      </c>
      <c r="O160" t="s">
        <v>417</v>
      </c>
      <c r="P160" t="s">
        <v>416</v>
      </c>
    </row>
    <row r="161" ht="15.75" customHeight="1">
      <c r="A161">
        <v>159.0</v>
      </c>
      <c r="B161">
        <v>150.0</v>
      </c>
      <c r="C161">
        <v>68.95</v>
      </c>
      <c r="D161">
        <v>4.0</v>
      </c>
      <c r="E161" t="str">
        <f t="shared" si="1"/>
        <v>2.4875</v>
      </c>
      <c r="F161">
        <v>2.0</v>
      </c>
      <c r="G161">
        <v>6.0</v>
      </c>
      <c r="H161" t="str">
        <f t="shared" si="2"/>
        <v>12</v>
      </c>
      <c r="I161">
        <v>135.0</v>
      </c>
      <c r="J161" t="str">
        <f t="shared" si="3"/>
        <v>428.625</v>
      </c>
      <c r="K161" t="str">
        <f t="shared" si="4"/>
        <v>1393.03125</v>
      </c>
      <c r="L161" t="str">
        <f t="shared" si="5"/>
        <v>11.60859375</v>
      </c>
      <c r="M161" t="str">
        <f t="shared" si="6"/>
        <v>325</v>
      </c>
      <c r="N161" t="s">
        <v>187</v>
      </c>
      <c r="O161" t="s">
        <v>418</v>
      </c>
      <c r="P161" t="s">
        <v>419</v>
      </c>
    </row>
    <row r="162" ht="15.75" customHeight="1">
      <c r="A162">
        <v>160.0</v>
      </c>
      <c r="B162">
        <v>40.0</v>
      </c>
      <c r="C162">
        <v>223.0</v>
      </c>
      <c r="D162">
        <v>3.0</v>
      </c>
      <c r="E162" t="str">
        <f t="shared" si="1"/>
        <v>4.0125</v>
      </c>
      <c r="F162">
        <v>9.0</v>
      </c>
      <c r="G162">
        <v>2.0</v>
      </c>
      <c r="H162" t="str">
        <f t="shared" si="2"/>
        <v>18</v>
      </c>
      <c r="I162">
        <v>143.0</v>
      </c>
      <c r="J162" t="str">
        <f t="shared" si="3"/>
        <v>454.025</v>
      </c>
      <c r="K162" t="str">
        <f t="shared" si="4"/>
        <v>1834.261</v>
      </c>
      <c r="L162" t="str">
        <f t="shared" si="5"/>
        <v>10.19033889</v>
      </c>
      <c r="M162" t="str">
        <f t="shared" si="6"/>
        <v>404</v>
      </c>
      <c r="N162" t="s">
        <v>182</v>
      </c>
      <c r="O162" t="s">
        <v>420</v>
      </c>
    </row>
    <row r="163" ht="15.75" customHeight="1">
      <c r="A163">
        <v>161.0</v>
      </c>
      <c r="B163">
        <v>115.2</v>
      </c>
      <c r="C163">
        <v>57.7</v>
      </c>
      <c r="D163">
        <v>4.0</v>
      </c>
      <c r="E163" t="str">
        <f t="shared" si="1"/>
        <v>3.26</v>
      </c>
      <c r="F163">
        <v>3.0</v>
      </c>
      <c r="G163">
        <v>5.0</v>
      </c>
      <c r="H163" t="str">
        <f t="shared" si="2"/>
        <v>15</v>
      </c>
      <c r="I163">
        <v>96.0</v>
      </c>
      <c r="J163" t="str">
        <f t="shared" si="3"/>
        <v>304.8</v>
      </c>
      <c r="K163" t="str">
        <f t="shared" si="4"/>
        <v>1141.7808</v>
      </c>
      <c r="L163" t="str">
        <f t="shared" si="5"/>
        <v>7.611872</v>
      </c>
      <c r="M163" t="str">
        <f t="shared" si="6"/>
        <v>374.6</v>
      </c>
      <c r="N163" t="s">
        <v>187</v>
      </c>
      <c r="O163" t="s">
        <v>421</v>
      </c>
      <c r="P163" t="s">
        <v>422</v>
      </c>
    </row>
    <row r="164" ht="15.75" customHeight="1">
      <c r="A164">
        <v>162.0</v>
      </c>
      <c r="B164">
        <v>180.7</v>
      </c>
      <c r="C164">
        <v>74.7</v>
      </c>
      <c r="D164">
        <v>3.0</v>
      </c>
      <c r="E164" t="str">
        <f t="shared" si="1"/>
        <v>3.0875</v>
      </c>
      <c r="F164">
        <v>2.0</v>
      </c>
      <c r="G164">
        <v>4.0</v>
      </c>
      <c r="H164" t="str">
        <f t="shared" si="2"/>
        <v>8</v>
      </c>
      <c r="I164">
        <v>98.0</v>
      </c>
      <c r="J164" t="str">
        <f t="shared" si="3"/>
        <v>311.15</v>
      </c>
      <c r="K164" t="str">
        <f t="shared" si="4"/>
        <v>1196.0606</v>
      </c>
      <c r="L164" t="str">
        <f t="shared" si="5"/>
        <v>14.9507575</v>
      </c>
      <c r="M164" t="str">
        <f t="shared" si="6"/>
        <v>384.4</v>
      </c>
      <c r="N164" t="s">
        <v>187</v>
      </c>
      <c r="O164" t="s">
        <v>423</v>
      </c>
      <c r="P164" t="s">
        <v>424</v>
      </c>
    </row>
    <row r="165" ht="15.75" customHeight="1">
      <c r="A165">
        <v>163.0</v>
      </c>
      <c r="B165">
        <v>93.0</v>
      </c>
      <c r="C165">
        <v>73.0</v>
      </c>
      <c r="D165">
        <v>3.0</v>
      </c>
      <c r="E165" t="str">
        <f t="shared" si="1"/>
        <v>3.2</v>
      </c>
      <c r="F165">
        <v>4.0</v>
      </c>
      <c r="G165">
        <v>4.0</v>
      </c>
      <c r="H165" t="str">
        <f t="shared" si="2"/>
        <v>16</v>
      </c>
      <c r="I165">
        <v>96.0</v>
      </c>
      <c r="J165" t="str">
        <f t="shared" si="3"/>
        <v>304.8</v>
      </c>
      <c r="K165" t="str">
        <f t="shared" si="4"/>
        <v>1222.248</v>
      </c>
      <c r="L165" t="str">
        <f t="shared" si="5"/>
        <v>7.63905</v>
      </c>
      <c r="M165" t="str">
        <f t="shared" si="6"/>
        <v>401</v>
      </c>
      <c r="N165" t="s">
        <v>187</v>
      </c>
      <c r="O165" t="s">
        <v>425</v>
      </c>
      <c r="P165" t="s">
        <v>426</v>
      </c>
    </row>
    <row r="166" ht="15.75" customHeight="1">
      <c r="A166">
        <v>164.0</v>
      </c>
      <c r="B166">
        <v>80.0</v>
      </c>
      <c r="C166">
        <v>276.0</v>
      </c>
      <c r="D166">
        <v>3.0</v>
      </c>
      <c r="E166" t="str">
        <f t="shared" si="1"/>
        <v>3.4</v>
      </c>
      <c r="F166">
        <v>5.0</v>
      </c>
      <c r="G166">
        <v>2.0</v>
      </c>
      <c r="H166" t="str">
        <f t="shared" si="2"/>
        <v>10</v>
      </c>
      <c r="I166">
        <v>176.0</v>
      </c>
      <c r="J166" t="str">
        <f t="shared" si="3"/>
        <v>558.8</v>
      </c>
      <c r="K166" t="str">
        <f t="shared" si="4"/>
        <v>2414.016</v>
      </c>
      <c r="L166" t="str">
        <f t="shared" si="5"/>
        <v>24.14016</v>
      </c>
      <c r="M166" t="str">
        <f t="shared" si="6"/>
        <v>432</v>
      </c>
      <c r="N166" t="s">
        <v>187</v>
      </c>
      <c r="O166" t="s">
        <v>427</v>
      </c>
    </row>
    <row r="167" ht="15.75" customHeight="1">
      <c r="A167">
        <v>165.0</v>
      </c>
      <c r="B167">
        <v>95.0</v>
      </c>
      <c r="C167">
        <v>122.0</v>
      </c>
      <c r="D167">
        <v>3.0</v>
      </c>
      <c r="E167" t="str">
        <f t="shared" si="1"/>
        <v>5</v>
      </c>
      <c r="F167">
        <v>4.0</v>
      </c>
      <c r="G167">
        <v>3.0</v>
      </c>
      <c r="H167" t="str">
        <f t="shared" si="2"/>
        <v>12</v>
      </c>
      <c r="I167">
        <v>120.0</v>
      </c>
      <c r="J167" t="str">
        <f t="shared" si="3"/>
        <v>381</v>
      </c>
      <c r="K167" t="str">
        <f t="shared" si="4"/>
        <v>1558.29</v>
      </c>
      <c r="L167" t="str">
        <f t="shared" si="5"/>
        <v>12.98575</v>
      </c>
      <c r="M167" t="str">
        <f t="shared" si="6"/>
        <v>409</v>
      </c>
      <c r="N167" t="s">
        <v>182</v>
      </c>
      <c r="O167" t="s">
        <v>428</v>
      </c>
    </row>
    <row r="168" ht="15.75" customHeight="1">
      <c r="A168">
        <v>166.0</v>
      </c>
      <c r="B168">
        <v>100.0</v>
      </c>
      <c r="C168">
        <v>75.0</v>
      </c>
      <c r="D168">
        <v>3.0</v>
      </c>
      <c r="E168" t="str">
        <f t="shared" si="1"/>
        <v>2.7875</v>
      </c>
      <c r="F168">
        <v>3.0</v>
      </c>
      <c r="G168">
        <v>4.0</v>
      </c>
      <c r="H168" t="str">
        <f t="shared" si="2"/>
        <v>12</v>
      </c>
      <c r="I168">
        <v>98.0</v>
      </c>
      <c r="J168" t="str">
        <f t="shared" si="3"/>
        <v>311.15</v>
      </c>
      <c r="K168" t="str">
        <f t="shared" si="4"/>
        <v>1014.349</v>
      </c>
      <c r="L168" t="str">
        <f t="shared" si="5"/>
        <v>8.452908333</v>
      </c>
      <c r="M168" t="str">
        <f t="shared" si="6"/>
        <v>326</v>
      </c>
      <c r="N168" t="s">
        <v>182</v>
      </c>
      <c r="O168" t="s">
        <v>429</v>
      </c>
    </row>
    <row r="169" ht="15.75" customHeight="1">
      <c r="A169">
        <v>167.0</v>
      </c>
      <c r="B169">
        <v>36.0</v>
      </c>
      <c r="C169">
        <v>111.8</v>
      </c>
      <c r="D169">
        <v>3.0</v>
      </c>
      <c r="E169" t="str">
        <f t="shared" si="1"/>
        <v>2.5</v>
      </c>
      <c r="F169">
        <v>10.0</v>
      </c>
      <c r="G169">
        <v>3.0</v>
      </c>
      <c r="H169" t="str">
        <f t="shared" si="2"/>
        <v>30</v>
      </c>
      <c r="I169">
        <v>108.0</v>
      </c>
      <c r="J169" t="str">
        <f t="shared" si="3"/>
        <v>342.9</v>
      </c>
      <c r="K169" t="str">
        <f t="shared" si="4"/>
        <v>1395.603</v>
      </c>
      <c r="L169" t="str">
        <f t="shared" si="5"/>
        <v>4.65201</v>
      </c>
      <c r="M169" t="str">
        <f t="shared" si="6"/>
        <v>407</v>
      </c>
      <c r="N169" t="s">
        <v>182</v>
      </c>
      <c r="O169" t="s">
        <v>430</v>
      </c>
    </row>
    <row r="170" ht="15.75" customHeight="1">
      <c r="A170">
        <v>168.0</v>
      </c>
      <c r="B170">
        <v>124.0</v>
      </c>
      <c r="C170">
        <v>23.0</v>
      </c>
      <c r="D170">
        <v>3.0</v>
      </c>
      <c r="E170" t="str">
        <f t="shared" si="1"/>
        <v>2.929166667</v>
      </c>
      <c r="F170">
        <v>1.0</v>
      </c>
      <c r="G170">
        <v>12.0</v>
      </c>
      <c r="H170" t="str">
        <f t="shared" si="2"/>
        <v>12</v>
      </c>
      <c r="I170">
        <v>98.0</v>
      </c>
      <c r="J170" t="str">
        <f t="shared" si="3"/>
        <v>311.15</v>
      </c>
      <c r="K170" t="str">
        <f t="shared" si="4"/>
        <v>448.056</v>
      </c>
      <c r="L170" t="str">
        <f t="shared" si="5"/>
        <v>3.7338</v>
      </c>
      <c r="M170" t="str">
        <f t="shared" si="6"/>
        <v>144</v>
      </c>
      <c r="N170" t="s">
        <v>182</v>
      </c>
      <c r="O170" t="s">
        <v>431</v>
      </c>
      <c r="P170" t="s">
        <v>432</v>
      </c>
    </row>
    <row r="171" ht="15.75" customHeight="1">
      <c r="A171">
        <v>169.0</v>
      </c>
      <c r="B171">
        <v>108.0</v>
      </c>
      <c r="C171">
        <v>58.0</v>
      </c>
      <c r="D171">
        <v>3.0</v>
      </c>
      <c r="E171" t="str">
        <f t="shared" si="1"/>
        <v>2.96</v>
      </c>
      <c r="F171">
        <v>2.0</v>
      </c>
      <c r="G171">
        <v>5.0</v>
      </c>
      <c r="H171" t="str">
        <f t="shared" si="2"/>
        <v>10</v>
      </c>
      <c r="I171">
        <v>96.0</v>
      </c>
      <c r="J171" t="str">
        <f t="shared" si="3"/>
        <v>304.8</v>
      </c>
      <c r="K171" t="str">
        <f t="shared" si="4"/>
        <v>728.472</v>
      </c>
      <c r="L171" t="str">
        <f t="shared" si="5"/>
        <v>7.28472</v>
      </c>
      <c r="M171" t="str">
        <f t="shared" si="6"/>
        <v>239</v>
      </c>
      <c r="N171" t="s">
        <v>187</v>
      </c>
      <c r="O171" t="s">
        <v>433</v>
      </c>
      <c r="P171" t="s">
        <v>434</v>
      </c>
    </row>
    <row r="172" ht="15.75" customHeight="1">
      <c r="A172">
        <v>170.0</v>
      </c>
      <c r="B172">
        <v>168.0</v>
      </c>
      <c r="C172">
        <v>83.0</v>
      </c>
      <c r="D172">
        <v>4.0</v>
      </c>
      <c r="E172" t="str">
        <f t="shared" si="1"/>
        <v>2.725</v>
      </c>
      <c r="F172">
        <v>2.0</v>
      </c>
      <c r="G172">
        <v>4.0</v>
      </c>
      <c r="H172" t="str">
        <f t="shared" si="2"/>
        <v>8</v>
      </c>
      <c r="I172">
        <v>108.0</v>
      </c>
      <c r="J172" t="str">
        <f t="shared" si="3"/>
        <v>342.9</v>
      </c>
      <c r="K172" t="str">
        <f t="shared" si="4"/>
        <v>1237.869</v>
      </c>
      <c r="L172" t="str">
        <f t="shared" si="5"/>
        <v>15.4733625</v>
      </c>
      <c r="M172" t="str">
        <f t="shared" si="6"/>
        <v>361</v>
      </c>
      <c r="N172" t="s">
        <v>187</v>
      </c>
      <c r="O172" t="s">
        <v>435</v>
      </c>
      <c r="P172" t="s">
        <v>436</v>
      </c>
    </row>
    <row r="173" ht="15.75" customHeight="1">
      <c r="A173">
        <v>171.0</v>
      </c>
      <c r="B173">
        <v>45.0</v>
      </c>
      <c r="C173">
        <v>555.0</v>
      </c>
      <c r="D173">
        <v>3.0</v>
      </c>
      <c r="E173" t="str">
        <f t="shared" si="1"/>
        <v>3.8</v>
      </c>
      <c r="F173">
        <v>8.0</v>
      </c>
      <c r="G173">
        <v>1.0</v>
      </c>
      <c r="H173" t="str">
        <f t="shared" si="2"/>
        <v>8</v>
      </c>
      <c r="I173">
        <v>176.0</v>
      </c>
      <c r="J173" t="str">
        <f t="shared" si="3"/>
        <v>558.8</v>
      </c>
      <c r="K173" t="str">
        <f t="shared" si="4"/>
        <v>2240.788</v>
      </c>
      <c r="L173" t="str">
        <f t="shared" si="5"/>
        <v>28.00985</v>
      </c>
      <c r="M173" t="str">
        <f t="shared" si="6"/>
        <v>401</v>
      </c>
      <c r="N173" t="s">
        <v>187</v>
      </c>
      <c r="O173" t="s">
        <v>437</v>
      </c>
    </row>
    <row r="174" ht="15.75" customHeight="1">
      <c r="A174">
        <v>172.0</v>
      </c>
      <c r="B174">
        <v>20.0</v>
      </c>
      <c r="C174">
        <v>10.0</v>
      </c>
      <c r="D174">
        <v>3.0</v>
      </c>
      <c r="E174" t="str">
        <f t="shared" si="1"/>
        <v>3.49375</v>
      </c>
      <c r="F174">
        <v>12.0</v>
      </c>
      <c r="G174">
        <v>24.0</v>
      </c>
      <c r="H174" t="str">
        <f t="shared" si="2"/>
        <v>288</v>
      </c>
      <c r="I174">
        <v>102.0</v>
      </c>
      <c r="J174" t="str">
        <f t="shared" si="3"/>
        <v>323.85</v>
      </c>
      <c r="K174" t="str">
        <f t="shared" si="4"/>
        <v>948.8805</v>
      </c>
      <c r="L174" t="str">
        <f t="shared" si="5"/>
        <v>0.3294723958</v>
      </c>
      <c r="M174" t="str">
        <f t="shared" si="6"/>
        <v>293</v>
      </c>
      <c r="N174" t="s">
        <v>187</v>
      </c>
      <c r="O174" t="s">
        <v>438</v>
      </c>
    </row>
    <row r="175" ht="15.75" customHeight="1">
      <c r="A175">
        <v>173.0</v>
      </c>
      <c r="B175">
        <v>35.0</v>
      </c>
      <c r="C175">
        <v>80.0</v>
      </c>
      <c r="D175">
        <v>3.0</v>
      </c>
      <c r="E175" t="str">
        <f t="shared" si="1"/>
        <v>3.34375</v>
      </c>
      <c r="F175">
        <v>10.0</v>
      </c>
      <c r="G175">
        <v>4.0</v>
      </c>
      <c r="H175" t="str">
        <f t="shared" si="2"/>
        <v>40</v>
      </c>
      <c r="I175">
        <v>105.0</v>
      </c>
      <c r="J175" t="str">
        <f t="shared" si="3"/>
        <v>333.375</v>
      </c>
      <c r="K175" t="str">
        <f t="shared" si="4"/>
        <v>1323.49875</v>
      </c>
      <c r="L175" t="str">
        <f t="shared" si="5"/>
        <v>3.308746875</v>
      </c>
      <c r="M175" t="str">
        <f t="shared" si="6"/>
        <v>397</v>
      </c>
      <c r="N175" t="s">
        <v>182</v>
      </c>
      <c r="O175" t="s">
        <v>439</v>
      </c>
    </row>
    <row r="176" ht="15.75" customHeight="1">
      <c r="A176">
        <v>174.0</v>
      </c>
      <c r="B176">
        <v>144.0</v>
      </c>
      <c r="C176">
        <v>77.4</v>
      </c>
      <c r="D176">
        <v>4.0</v>
      </c>
      <c r="E176" t="str">
        <f t="shared" si="1"/>
        <v>3.5625</v>
      </c>
      <c r="F176">
        <v>2.0</v>
      </c>
      <c r="G176">
        <v>4.0</v>
      </c>
      <c r="H176" t="str">
        <f t="shared" si="2"/>
        <v>8</v>
      </c>
      <c r="I176">
        <v>102.0</v>
      </c>
      <c r="J176" t="str">
        <f t="shared" si="3"/>
        <v>323.85</v>
      </c>
      <c r="K176" t="str">
        <f t="shared" si="4"/>
        <v>1013.6505</v>
      </c>
      <c r="L176" t="str">
        <f t="shared" si="5"/>
        <v>12.67063125</v>
      </c>
      <c r="M176" t="str">
        <f t="shared" si="6"/>
        <v>313</v>
      </c>
      <c r="N176" t="s">
        <v>187</v>
      </c>
      <c r="O176" t="s">
        <v>440</v>
      </c>
      <c r="P176" t="s">
        <v>441</v>
      </c>
    </row>
    <row r="177" ht="15.75" customHeight="1">
      <c r="A177">
        <v>175.0</v>
      </c>
      <c r="B177">
        <v>73.0</v>
      </c>
      <c r="C177">
        <v>105.0</v>
      </c>
      <c r="D177">
        <v>3.0</v>
      </c>
      <c r="E177" t="str">
        <f t="shared" si="1"/>
        <v>2.95</v>
      </c>
      <c r="F177">
        <v>4.0</v>
      </c>
      <c r="G177">
        <v>3.0</v>
      </c>
      <c r="H177" t="str">
        <f t="shared" si="2"/>
        <v>12</v>
      </c>
      <c r="I177">
        <v>102.0</v>
      </c>
      <c r="J177" t="str">
        <f t="shared" si="3"/>
        <v>323.85</v>
      </c>
      <c r="K177" t="str">
        <f t="shared" si="4"/>
        <v>1039.5585</v>
      </c>
      <c r="L177" t="str">
        <f t="shared" si="5"/>
        <v>8.6629875</v>
      </c>
      <c r="M177" t="str">
        <f t="shared" si="6"/>
        <v>321</v>
      </c>
      <c r="N177" t="s">
        <v>182</v>
      </c>
      <c r="O177" t="s">
        <v>442</v>
      </c>
    </row>
    <row r="178" ht="15.75" customHeight="1">
      <c r="A178">
        <v>176.0</v>
      </c>
      <c r="B178">
        <v>40.0</v>
      </c>
      <c r="C178">
        <v>30.0</v>
      </c>
      <c r="D178">
        <v>3.0</v>
      </c>
      <c r="E178" t="str">
        <f t="shared" si="1"/>
        <v>3.866666667</v>
      </c>
      <c r="F178">
        <v>9.0</v>
      </c>
      <c r="G178">
        <v>9.0</v>
      </c>
      <c r="H178" t="str">
        <f t="shared" si="2"/>
        <v>81</v>
      </c>
      <c r="I178">
        <v>96.0</v>
      </c>
      <c r="J178" t="str">
        <f t="shared" si="3"/>
        <v>304.8</v>
      </c>
      <c r="K178" t="str">
        <f t="shared" si="4"/>
        <v>1231.392</v>
      </c>
      <c r="L178" t="str">
        <f t="shared" si="5"/>
        <v>1.520237037</v>
      </c>
      <c r="M178" t="str">
        <f t="shared" si="6"/>
        <v>404</v>
      </c>
      <c r="N178" t="s">
        <v>182</v>
      </c>
      <c r="O178" t="s">
        <v>443</v>
      </c>
    </row>
    <row r="179" ht="15.75" customHeight="1">
      <c r="A179">
        <v>177.0</v>
      </c>
      <c r="B179">
        <v>105.0</v>
      </c>
      <c r="C179">
        <v>335.0</v>
      </c>
      <c r="D179">
        <v>3.0</v>
      </c>
      <c r="E179" t="str">
        <f t="shared" si="1"/>
        <v>7.9</v>
      </c>
      <c r="F179">
        <v>6.0</v>
      </c>
      <c r="G179">
        <v>1.0</v>
      </c>
      <c r="H179" t="str">
        <f t="shared" si="2"/>
        <v>6</v>
      </c>
      <c r="I179">
        <v>108.0</v>
      </c>
      <c r="J179" t="str">
        <f t="shared" si="3"/>
        <v>342.9</v>
      </c>
      <c r="K179" t="str">
        <f t="shared" si="4"/>
        <v>2280.285</v>
      </c>
      <c r="L179" t="str">
        <f t="shared" si="5"/>
        <v>38.00475</v>
      </c>
      <c r="M179" t="str">
        <f t="shared" si="6"/>
        <v>665</v>
      </c>
      <c r="N179" t="s">
        <v>187</v>
      </c>
      <c r="O179" t="s">
        <v>444</v>
      </c>
      <c r="P179" t="s">
        <v>445</v>
      </c>
    </row>
    <row r="180" ht="15.75" customHeight="1">
      <c r="A180">
        <v>178.0</v>
      </c>
      <c r="B180">
        <v>155.0</v>
      </c>
      <c r="C180">
        <v>118.0</v>
      </c>
      <c r="D180">
        <v>3.0</v>
      </c>
      <c r="E180" t="str">
        <f t="shared" si="1"/>
        <v>3.44375</v>
      </c>
      <c r="F180">
        <v>2.0</v>
      </c>
      <c r="G180">
        <v>4.0</v>
      </c>
      <c r="H180" t="str">
        <f t="shared" si="2"/>
        <v>8</v>
      </c>
      <c r="I180">
        <v>153.0</v>
      </c>
      <c r="J180" t="str">
        <f t="shared" si="3"/>
        <v>485.775</v>
      </c>
      <c r="K180" t="str">
        <f t="shared" si="4"/>
        <v>1617.63075</v>
      </c>
      <c r="L180" t="str">
        <f t="shared" si="5"/>
        <v>20.22038438</v>
      </c>
      <c r="M180" t="str">
        <f t="shared" si="6"/>
        <v>333</v>
      </c>
      <c r="N180" t="s">
        <v>187</v>
      </c>
      <c r="O180" t="s">
        <v>446</v>
      </c>
    </row>
    <row r="181" ht="15.75" customHeight="1">
      <c r="A181">
        <v>179.0</v>
      </c>
      <c r="B181">
        <v>100.0</v>
      </c>
      <c r="C181">
        <v>265.0</v>
      </c>
      <c r="D181">
        <v>3.0</v>
      </c>
      <c r="E181" t="str">
        <f t="shared" si="1"/>
        <v>14.4</v>
      </c>
      <c r="F181">
        <v>4.0</v>
      </c>
      <c r="G181">
        <v>2.0</v>
      </c>
      <c r="H181" t="str">
        <f t="shared" si="2"/>
        <v>8</v>
      </c>
      <c r="I181">
        <v>176.0</v>
      </c>
      <c r="J181" t="str">
        <f t="shared" si="3"/>
        <v>558.8</v>
      </c>
      <c r="K181" t="str">
        <f t="shared" si="4"/>
        <v>2397.252</v>
      </c>
      <c r="L181" t="str">
        <f t="shared" si="5"/>
        <v>29.96565</v>
      </c>
      <c r="M181" t="str">
        <f t="shared" si="6"/>
        <v>429</v>
      </c>
      <c r="N181" t="s">
        <v>187</v>
      </c>
      <c r="O181" t="s">
        <v>447</v>
      </c>
    </row>
    <row r="182" ht="15.75" customHeight="1">
      <c r="A182">
        <v>180.0</v>
      </c>
      <c r="B182">
        <v>93.5</v>
      </c>
      <c r="C182">
        <v>73.0</v>
      </c>
      <c r="D182">
        <v>3.0</v>
      </c>
      <c r="E182" t="str">
        <f t="shared" si="1"/>
        <v>3.2</v>
      </c>
      <c r="F182">
        <v>4.0</v>
      </c>
      <c r="G182">
        <v>4.0</v>
      </c>
      <c r="H182" t="str">
        <f t="shared" si="2"/>
        <v>16</v>
      </c>
      <c r="I182">
        <v>96.0</v>
      </c>
      <c r="J182" t="str">
        <f t="shared" si="3"/>
        <v>304.8</v>
      </c>
      <c r="K182" t="str">
        <f t="shared" si="4"/>
        <v>1228.344</v>
      </c>
      <c r="L182" t="str">
        <f t="shared" si="5"/>
        <v>7.67715</v>
      </c>
      <c r="M182" t="str">
        <f t="shared" si="6"/>
        <v>403</v>
      </c>
      <c r="N182" t="s">
        <v>187</v>
      </c>
      <c r="O182" t="s">
        <v>448</v>
      </c>
      <c r="P182" t="s">
        <v>449</v>
      </c>
    </row>
    <row r="183" ht="15.75" customHeight="1">
      <c r="A183">
        <v>181.0</v>
      </c>
      <c r="B183">
        <v>188.5</v>
      </c>
      <c r="C183">
        <v>128.0</v>
      </c>
      <c r="D183">
        <v>4.0</v>
      </c>
      <c r="E183" t="str">
        <f t="shared" si="1"/>
        <v>5.35</v>
      </c>
      <c r="F183">
        <v>2.0</v>
      </c>
      <c r="G183">
        <v>3.0</v>
      </c>
      <c r="H183" t="str">
        <f t="shared" si="2"/>
        <v>6</v>
      </c>
      <c r="I183">
        <v>126.0</v>
      </c>
      <c r="J183" t="str">
        <f t="shared" si="3"/>
        <v>400.05</v>
      </c>
      <c r="K183" t="str">
        <f t="shared" si="4"/>
        <v>1608.201</v>
      </c>
      <c r="L183" t="str">
        <f t="shared" si="5"/>
        <v>26.80335</v>
      </c>
      <c r="M183" t="str">
        <f t="shared" si="6"/>
        <v>402</v>
      </c>
      <c r="N183" t="s">
        <v>187</v>
      </c>
      <c r="O183" t="s">
        <v>450</v>
      </c>
      <c r="P183" t="s">
        <v>396</v>
      </c>
    </row>
    <row r="184" ht="15.75" customHeight="1">
      <c r="A184">
        <v>182.0</v>
      </c>
      <c r="B184">
        <v>84.0</v>
      </c>
      <c r="C184">
        <v>60.0</v>
      </c>
      <c r="D184">
        <v>3.0</v>
      </c>
      <c r="E184" t="str">
        <f t="shared" si="1"/>
        <v>3.5</v>
      </c>
      <c r="F184">
        <v>4.0</v>
      </c>
      <c r="G184">
        <v>6.0</v>
      </c>
      <c r="H184" t="str">
        <f t="shared" si="2"/>
        <v>24</v>
      </c>
      <c r="I184">
        <v>120.0</v>
      </c>
      <c r="J184" t="str">
        <f t="shared" si="3"/>
        <v>381</v>
      </c>
      <c r="K184" t="str">
        <f t="shared" si="4"/>
        <v>1390.65</v>
      </c>
      <c r="L184" t="str">
        <f t="shared" si="5"/>
        <v>5.794375</v>
      </c>
      <c r="M184" t="str">
        <f t="shared" si="6"/>
        <v>365</v>
      </c>
      <c r="N184" t="s">
        <v>187</v>
      </c>
      <c r="O184" t="s">
        <v>451</v>
      </c>
      <c r="P184" t="s">
        <v>452</v>
      </c>
    </row>
    <row r="185" ht="15.75" customHeight="1">
      <c r="A185">
        <v>183.0</v>
      </c>
      <c r="B185">
        <v>85.0</v>
      </c>
      <c r="C185">
        <v>482.8</v>
      </c>
      <c r="D185">
        <v>3.0</v>
      </c>
      <c r="E185" t="str">
        <f t="shared" si="1"/>
        <v>2.975</v>
      </c>
      <c r="F185">
        <v>4.0</v>
      </c>
      <c r="G185">
        <v>1.0</v>
      </c>
      <c r="H185" t="str">
        <f t="shared" si="2"/>
        <v>4</v>
      </c>
      <c r="I185">
        <v>153.0</v>
      </c>
      <c r="J185" t="str">
        <f t="shared" si="3"/>
        <v>485.775</v>
      </c>
      <c r="K185" t="str">
        <f t="shared" si="4"/>
        <v>1792.50975</v>
      </c>
      <c r="L185" t="str">
        <f t="shared" si="5"/>
        <v>44.81274375</v>
      </c>
      <c r="M185" t="str">
        <f t="shared" si="6"/>
        <v>369</v>
      </c>
      <c r="N185" t="s">
        <v>182</v>
      </c>
      <c r="O185" t="s">
        <v>453</v>
      </c>
    </row>
    <row r="186" ht="15.75" customHeight="1">
      <c r="A186">
        <v>184.0</v>
      </c>
      <c r="B186">
        <v>165.0</v>
      </c>
      <c r="C186">
        <v>139.0</v>
      </c>
      <c r="D186">
        <v>3.0</v>
      </c>
      <c r="E186" t="str">
        <f t="shared" si="1"/>
        <v>3.875</v>
      </c>
      <c r="F186">
        <v>2.0</v>
      </c>
      <c r="G186">
        <v>3.0</v>
      </c>
      <c r="H186" t="str">
        <f t="shared" si="2"/>
        <v>6</v>
      </c>
      <c r="I186">
        <v>135.0</v>
      </c>
      <c r="J186" t="str">
        <f t="shared" si="3"/>
        <v>428.625</v>
      </c>
      <c r="K186" t="str">
        <f t="shared" si="4"/>
        <v>1513.04625</v>
      </c>
      <c r="L186" t="str">
        <f t="shared" si="5"/>
        <v>25.2174375</v>
      </c>
      <c r="M186" t="str">
        <f t="shared" si="6"/>
        <v>353</v>
      </c>
      <c r="N186" t="s">
        <v>187</v>
      </c>
      <c r="O186" t="s">
        <v>454</v>
      </c>
      <c r="P186" t="s">
        <v>455</v>
      </c>
    </row>
    <row r="187" ht="15.75" customHeight="1">
      <c r="A187">
        <v>185.0</v>
      </c>
      <c r="B187">
        <v>70.0</v>
      </c>
      <c r="C187">
        <v>69.0</v>
      </c>
      <c r="D187">
        <v>3.0</v>
      </c>
      <c r="E187" t="str">
        <f t="shared" si="1"/>
        <v>2.4375</v>
      </c>
      <c r="F187">
        <v>5.0</v>
      </c>
      <c r="G187">
        <v>6.0</v>
      </c>
      <c r="H187" t="str">
        <f t="shared" si="2"/>
        <v>30</v>
      </c>
      <c r="I187">
        <v>135.0</v>
      </c>
      <c r="J187" t="str">
        <f t="shared" si="3"/>
        <v>428.625</v>
      </c>
      <c r="K187" t="str">
        <f t="shared" si="4"/>
        <v>1637.3475</v>
      </c>
      <c r="L187" t="str">
        <f t="shared" si="5"/>
        <v>5.457825</v>
      </c>
      <c r="M187" t="str">
        <f t="shared" si="6"/>
        <v>382</v>
      </c>
      <c r="N187" t="s">
        <v>182</v>
      </c>
      <c r="O187" t="s">
        <v>456</v>
      </c>
    </row>
    <row r="188" ht="15.75" customHeight="1">
      <c r="A188">
        <v>186.0</v>
      </c>
      <c r="B188">
        <v>143.0</v>
      </c>
      <c r="C188">
        <v>103.0</v>
      </c>
      <c r="D188">
        <v>5.0</v>
      </c>
      <c r="E188" t="str">
        <f t="shared" si="1"/>
        <v>4.95</v>
      </c>
      <c r="F188">
        <v>2.0</v>
      </c>
      <c r="G188">
        <v>3.0</v>
      </c>
      <c r="H188" t="str">
        <f t="shared" si="2"/>
        <v>6</v>
      </c>
      <c r="I188">
        <v>102.0</v>
      </c>
      <c r="J188" t="str">
        <f t="shared" si="3"/>
        <v>323.85</v>
      </c>
      <c r="K188" t="str">
        <f t="shared" si="4"/>
        <v>1013.6505</v>
      </c>
      <c r="L188" t="str">
        <f t="shared" si="5"/>
        <v>16.894175</v>
      </c>
      <c r="M188" t="str">
        <f t="shared" si="6"/>
        <v>313</v>
      </c>
      <c r="N188" t="s">
        <v>187</v>
      </c>
      <c r="O188" t="s">
        <v>457</v>
      </c>
      <c r="P188" t="s">
        <v>458</v>
      </c>
    </row>
    <row r="189" ht="15.75" customHeight="1">
      <c r="A189">
        <v>187.0</v>
      </c>
      <c r="B189">
        <v>155.0</v>
      </c>
      <c r="C189">
        <v>66.0</v>
      </c>
      <c r="D189">
        <v>5.0</v>
      </c>
      <c r="E189" t="str">
        <f t="shared" si="1"/>
        <v>3.396428571</v>
      </c>
      <c r="F189">
        <v>2.0</v>
      </c>
      <c r="G189">
        <v>7.0</v>
      </c>
      <c r="H189" t="str">
        <f t="shared" si="2"/>
        <v>14</v>
      </c>
      <c r="I189">
        <v>153.0</v>
      </c>
      <c r="J189" t="str">
        <f t="shared" si="3"/>
        <v>485.775</v>
      </c>
      <c r="K189" t="str">
        <f t="shared" si="4"/>
        <v>1637.06175</v>
      </c>
      <c r="L189" t="str">
        <f t="shared" si="5"/>
        <v>11.69329821</v>
      </c>
      <c r="M189" t="str">
        <f t="shared" si="6"/>
        <v>337</v>
      </c>
      <c r="N189" t="s">
        <v>187</v>
      </c>
      <c r="O189" t="s">
        <v>459</v>
      </c>
      <c r="P189" t="s">
        <v>460</v>
      </c>
    </row>
    <row r="190" ht="15.75" customHeight="1">
      <c r="A190">
        <v>188.0</v>
      </c>
      <c r="B190">
        <v>20.0</v>
      </c>
      <c r="C190">
        <v>80.0</v>
      </c>
      <c r="D190">
        <v>3.0</v>
      </c>
      <c r="E190" t="str">
        <f t="shared" si="1"/>
        <v>3.34375</v>
      </c>
      <c r="F190">
        <v>14.0</v>
      </c>
      <c r="G190">
        <v>4.0</v>
      </c>
      <c r="H190" t="str">
        <f t="shared" si="2"/>
        <v>56</v>
      </c>
      <c r="I190">
        <v>105.0</v>
      </c>
      <c r="J190" t="str">
        <f t="shared" si="3"/>
        <v>333.375</v>
      </c>
      <c r="K190" t="str">
        <f t="shared" si="4"/>
        <v>1130.14125</v>
      </c>
      <c r="L190" t="str">
        <f t="shared" si="5"/>
        <v>2.018109375</v>
      </c>
      <c r="M190" t="str">
        <f t="shared" si="6"/>
        <v>339</v>
      </c>
      <c r="N190" t="s">
        <v>182</v>
      </c>
      <c r="O190" t="s">
        <v>461</v>
      </c>
    </row>
    <row r="191" ht="15.75" customHeight="1">
      <c r="A191">
        <v>189.0</v>
      </c>
      <c r="B191">
        <v>20.0</v>
      </c>
      <c r="C191">
        <v>69.0</v>
      </c>
      <c r="D191">
        <v>3.0</v>
      </c>
      <c r="E191" t="str">
        <f t="shared" si="1"/>
        <v>2.4375</v>
      </c>
      <c r="F191">
        <v>14.0</v>
      </c>
      <c r="G191">
        <v>6.0</v>
      </c>
      <c r="H191" t="str">
        <f t="shared" si="2"/>
        <v>84</v>
      </c>
      <c r="I191">
        <v>135.0</v>
      </c>
      <c r="J191" t="str">
        <f t="shared" si="3"/>
        <v>428.625</v>
      </c>
      <c r="K191" t="str">
        <f t="shared" si="4"/>
        <v>1453.03875</v>
      </c>
      <c r="L191" t="str">
        <f t="shared" si="5"/>
        <v>1.729808036</v>
      </c>
      <c r="M191" t="str">
        <f t="shared" si="6"/>
        <v>339</v>
      </c>
      <c r="N191" t="s">
        <v>182</v>
      </c>
      <c r="O191" t="s">
        <v>462</v>
      </c>
    </row>
    <row r="192" ht="15.75" customHeight="1">
      <c r="A192">
        <v>190.0</v>
      </c>
      <c r="B192">
        <v>25.0</v>
      </c>
      <c r="C192">
        <v>69.0</v>
      </c>
      <c r="D192">
        <v>3.0</v>
      </c>
      <c r="E192" t="str">
        <f t="shared" si="1"/>
        <v>2.4375</v>
      </c>
      <c r="F192">
        <v>13.0</v>
      </c>
      <c r="G192">
        <v>6.0</v>
      </c>
      <c r="H192" t="str">
        <f t="shared" si="2"/>
        <v>78</v>
      </c>
      <c r="I192">
        <v>135.0</v>
      </c>
      <c r="J192" t="str">
        <f t="shared" si="3"/>
        <v>428.625</v>
      </c>
      <c r="K192" t="str">
        <f t="shared" si="4"/>
        <v>1633.06125</v>
      </c>
      <c r="L192" t="str">
        <f t="shared" si="5"/>
        <v>2.093668269</v>
      </c>
      <c r="M192" t="str">
        <f t="shared" si="6"/>
        <v>381</v>
      </c>
      <c r="N192" t="s">
        <v>182</v>
      </c>
      <c r="O192" t="s">
        <v>463</v>
      </c>
    </row>
    <row r="193" ht="15.75" customHeight="1">
      <c r="A193">
        <v>191.0</v>
      </c>
      <c r="B193">
        <v>20.0</v>
      </c>
      <c r="C193">
        <v>33.0</v>
      </c>
      <c r="D193">
        <v>3.0</v>
      </c>
      <c r="E193" t="str">
        <f t="shared" si="1"/>
        <v>2.983333333</v>
      </c>
      <c r="F193">
        <v>6.0</v>
      </c>
      <c r="G193">
        <v>9.0</v>
      </c>
      <c r="H193" t="str">
        <f t="shared" si="2"/>
        <v>54</v>
      </c>
      <c r="I193">
        <v>102.0</v>
      </c>
      <c r="J193" t="str">
        <f t="shared" si="3"/>
        <v>323.85</v>
      </c>
      <c r="K193" t="str">
        <f t="shared" si="4"/>
        <v>501.9675</v>
      </c>
      <c r="L193" t="str">
        <f t="shared" si="5"/>
        <v>0.9295694444</v>
      </c>
      <c r="M193" t="str">
        <f t="shared" si="6"/>
        <v>155</v>
      </c>
      <c r="N193" t="s">
        <v>182</v>
      </c>
      <c r="O193" t="s">
        <v>464</v>
      </c>
      <c r="P193" t="s">
        <v>465</v>
      </c>
    </row>
    <row r="194" ht="15.75" customHeight="1">
      <c r="A194">
        <v>192.0</v>
      </c>
      <c r="B194">
        <v>230.0</v>
      </c>
      <c r="C194">
        <v>130.0</v>
      </c>
      <c r="D194">
        <v>0.0</v>
      </c>
      <c r="E194" t="str">
        <f t="shared" si="1"/>
        <v>3.35</v>
      </c>
      <c r="F194">
        <v>1.0</v>
      </c>
      <c r="G194">
        <v>3.0</v>
      </c>
      <c r="H194" t="str">
        <f t="shared" si="2"/>
        <v>3</v>
      </c>
      <c r="I194">
        <v>126.0</v>
      </c>
      <c r="J194" t="str">
        <f t="shared" si="3"/>
        <v>400.05</v>
      </c>
      <c r="K194" t="str">
        <f t="shared" si="4"/>
        <v>988.1235</v>
      </c>
      <c r="L194" t="str">
        <f t="shared" si="5"/>
        <v>32.93745</v>
      </c>
      <c r="M194" t="str">
        <f t="shared" si="6"/>
        <v>247</v>
      </c>
      <c r="N194" t="s">
        <v>187</v>
      </c>
      <c r="O194" t="s">
        <v>466</v>
      </c>
      <c r="P194" t="s">
        <v>467</v>
      </c>
    </row>
    <row r="195" ht="15.75" customHeight="1">
      <c r="A195">
        <v>193.0</v>
      </c>
      <c r="B195">
        <v>75.0</v>
      </c>
      <c r="C195">
        <v>110.0</v>
      </c>
      <c r="D195">
        <v>3.0</v>
      </c>
      <c r="E195" t="str">
        <f t="shared" si="1"/>
        <v>4.3</v>
      </c>
      <c r="F195">
        <v>5.0</v>
      </c>
      <c r="G195">
        <v>3.0</v>
      </c>
      <c r="H195" t="str">
        <f t="shared" si="2"/>
        <v>15</v>
      </c>
      <c r="I195">
        <v>108.0</v>
      </c>
      <c r="J195" t="str">
        <f t="shared" si="3"/>
        <v>342.9</v>
      </c>
      <c r="K195" t="str">
        <f t="shared" si="4"/>
        <v>1395.603</v>
      </c>
      <c r="L195" t="str">
        <f t="shared" si="5"/>
        <v>9.30402</v>
      </c>
      <c r="M195" t="str">
        <f t="shared" si="6"/>
        <v>407</v>
      </c>
      <c r="N195" t="s">
        <v>182</v>
      </c>
      <c r="O195" t="s">
        <v>468</v>
      </c>
    </row>
    <row r="196" ht="15.75" customHeight="1">
      <c r="A196">
        <v>194.0</v>
      </c>
      <c r="B196">
        <v>55.0</v>
      </c>
      <c r="C196">
        <v>80.0</v>
      </c>
      <c r="D196">
        <v>3.0</v>
      </c>
      <c r="E196" t="str">
        <f t="shared" si="1"/>
        <v>3.34375</v>
      </c>
      <c r="F196">
        <v>7.0</v>
      </c>
      <c r="G196">
        <v>4.0</v>
      </c>
      <c r="H196" t="str">
        <f t="shared" si="2"/>
        <v>28</v>
      </c>
      <c r="I196">
        <v>105.0</v>
      </c>
      <c r="J196" t="str">
        <f t="shared" si="3"/>
        <v>333.375</v>
      </c>
      <c r="K196" t="str">
        <f t="shared" si="4"/>
        <v>1410.17625</v>
      </c>
      <c r="L196" t="str">
        <f t="shared" si="5"/>
        <v>5.03634375</v>
      </c>
      <c r="M196" t="str">
        <f t="shared" si="6"/>
        <v>423</v>
      </c>
      <c r="N196" t="s">
        <v>182</v>
      </c>
      <c r="O196" t="s">
        <v>469</v>
      </c>
    </row>
    <row r="197" ht="15.75" customHeight="1">
      <c r="A197">
        <v>195.0</v>
      </c>
      <c r="B197">
        <v>140.0</v>
      </c>
      <c r="C197">
        <v>80.0</v>
      </c>
      <c r="D197">
        <v>3.0</v>
      </c>
      <c r="E197" t="str">
        <f t="shared" si="1"/>
        <v>3.34375</v>
      </c>
      <c r="F197">
        <v>2.0</v>
      </c>
      <c r="G197">
        <v>4.0</v>
      </c>
      <c r="H197" t="str">
        <f t="shared" si="2"/>
        <v>8</v>
      </c>
      <c r="I197">
        <v>105.0</v>
      </c>
      <c r="J197" t="str">
        <f t="shared" si="3"/>
        <v>333.375</v>
      </c>
      <c r="K197" t="str">
        <f t="shared" si="4"/>
        <v>1010.12625</v>
      </c>
      <c r="L197" t="str">
        <f t="shared" si="5"/>
        <v>12.62657813</v>
      </c>
      <c r="M197" t="str">
        <f t="shared" si="6"/>
        <v>303</v>
      </c>
      <c r="N197" t="s">
        <v>182</v>
      </c>
      <c r="O197" t="s">
        <v>470</v>
      </c>
      <c r="P197" t="s">
        <v>471</v>
      </c>
    </row>
    <row r="198" ht="15.75" customHeight="1">
      <c r="A198">
        <v>196.0</v>
      </c>
      <c r="B198">
        <v>112.0</v>
      </c>
      <c r="C198">
        <v>92.0</v>
      </c>
      <c r="D198">
        <v>3.0</v>
      </c>
      <c r="E198" t="str">
        <f t="shared" si="1"/>
        <v>3.25</v>
      </c>
      <c r="F198">
        <v>3.0</v>
      </c>
      <c r="G198">
        <v>4.0</v>
      </c>
      <c r="H198" t="str">
        <f t="shared" si="2"/>
        <v>12</v>
      </c>
      <c r="I198">
        <v>120.0</v>
      </c>
      <c r="J198" t="str">
        <f t="shared" si="3"/>
        <v>381</v>
      </c>
      <c r="K198" t="str">
        <f t="shared" si="4"/>
        <v>1379.22</v>
      </c>
      <c r="L198" t="str">
        <f t="shared" si="5"/>
        <v>11.4935</v>
      </c>
      <c r="M198" t="str">
        <f t="shared" si="6"/>
        <v>362</v>
      </c>
      <c r="N198" t="s">
        <v>187</v>
      </c>
      <c r="O198" t="s">
        <v>472</v>
      </c>
      <c r="P198" t="s">
        <v>473</v>
      </c>
    </row>
    <row r="199" ht="15.75" customHeight="1">
      <c r="A199">
        <v>197.0</v>
      </c>
      <c r="B199">
        <v>50.0</v>
      </c>
      <c r="C199">
        <v>80.0</v>
      </c>
      <c r="D199">
        <v>3.0</v>
      </c>
      <c r="E199" t="str">
        <f t="shared" si="1"/>
        <v>3.34375</v>
      </c>
      <c r="F199">
        <v>7.0</v>
      </c>
      <c r="G199">
        <v>4.0</v>
      </c>
      <c r="H199" t="str">
        <f t="shared" si="2"/>
        <v>28</v>
      </c>
      <c r="I199">
        <v>105.0</v>
      </c>
      <c r="J199" t="str">
        <f t="shared" si="3"/>
        <v>333.375</v>
      </c>
      <c r="K199" t="str">
        <f t="shared" si="4"/>
        <v>1293.495</v>
      </c>
      <c r="L199" t="str">
        <f t="shared" si="5"/>
        <v>4.619625</v>
      </c>
      <c r="M199" t="str">
        <f t="shared" si="6"/>
        <v>388</v>
      </c>
      <c r="N199" t="s">
        <v>182</v>
      </c>
      <c r="O199" t="s">
        <v>474</v>
      </c>
    </row>
    <row r="200" ht="15.75" customHeight="1">
      <c r="A200">
        <v>198.0</v>
      </c>
      <c r="B200">
        <v>45.0</v>
      </c>
      <c r="C200">
        <v>77.0</v>
      </c>
      <c r="D200">
        <v>3.0</v>
      </c>
      <c r="E200" t="str">
        <f t="shared" si="1"/>
        <v>3.01</v>
      </c>
      <c r="F200">
        <v>8.0</v>
      </c>
      <c r="G200">
        <v>5.0</v>
      </c>
      <c r="H200" t="str">
        <f t="shared" si="2"/>
        <v>40</v>
      </c>
      <c r="I200">
        <v>126.0</v>
      </c>
      <c r="J200" t="str">
        <f t="shared" si="3"/>
        <v>400.05</v>
      </c>
      <c r="K200" t="str">
        <f t="shared" si="4"/>
        <v>1604.2005</v>
      </c>
      <c r="L200" t="str">
        <f t="shared" si="5"/>
        <v>4.01050125</v>
      </c>
      <c r="M200" t="str">
        <f t="shared" si="6"/>
        <v>401</v>
      </c>
      <c r="N200" t="s">
        <v>182</v>
      </c>
      <c r="O200" t="s">
        <v>475</v>
      </c>
    </row>
    <row r="201" ht="15.75" customHeight="1">
      <c r="A201">
        <v>199.0</v>
      </c>
      <c r="B201">
        <v>165.0</v>
      </c>
      <c r="C201">
        <v>124.0</v>
      </c>
      <c r="D201">
        <v>5.0</v>
      </c>
      <c r="E201" t="str">
        <f t="shared" si="1"/>
        <v>3</v>
      </c>
      <c r="F201">
        <v>2.0</v>
      </c>
      <c r="G201">
        <v>3.0</v>
      </c>
      <c r="H201" t="str">
        <f t="shared" si="2"/>
        <v>6</v>
      </c>
      <c r="I201">
        <v>120.0</v>
      </c>
      <c r="J201" t="str">
        <f t="shared" si="3"/>
        <v>381</v>
      </c>
      <c r="K201" t="str">
        <f t="shared" si="4"/>
        <v>1360.17</v>
      </c>
      <c r="L201" t="str">
        <f t="shared" si="5"/>
        <v>22.6695</v>
      </c>
      <c r="M201" t="str">
        <f t="shared" si="6"/>
        <v>357</v>
      </c>
      <c r="N201" t="s">
        <v>187</v>
      </c>
      <c r="O201" t="s">
        <v>476</v>
      </c>
      <c r="P201" t="s">
        <v>477</v>
      </c>
    </row>
    <row r="202" ht="15.75" customHeight="1">
      <c r="A202">
        <v>200.0</v>
      </c>
      <c r="B202">
        <v>37.0</v>
      </c>
      <c r="C202">
        <v>140.0</v>
      </c>
      <c r="D202">
        <v>3.0</v>
      </c>
      <c r="E202" t="str">
        <f t="shared" si="1"/>
        <v>2.875</v>
      </c>
      <c r="F202">
        <v>10.0</v>
      </c>
      <c r="G202">
        <v>3.0</v>
      </c>
      <c r="H202" t="str">
        <f t="shared" si="2"/>
        <v>30</v>
      </c>
      <c r="I202">
        <v>135.0</v>
      </c>
      <c r="J202" t="str">
        <f t="shared" si="3"/>
        <v>428.625</v>
      </c>
      <c r="K202" t="str">
        <f t="shared" si="4"/>
        <v>1787.36625</v>
      </c>
      <c r="L202" t="str">
        <f t="shared" si="5"/>
        <v>5.9578875</v>
      </c>
      <c r="M202" t="str">
        <f t="shared" si="6"/>
        <v>417</v>
      </c>
      <c r="N202" t="s">
        <v>187</v>
      </c>
      <c r="O202" t="s">
        <v>478</v>
      </c>
      <c r="P202" t="s">
        <v>479</v>
      </c>
    </row>
    <row r="203" ht="15.75" customHeight="1">
      <c r="A203">
        <v>201.0</v>
      </c>
      <c r="B203">
        <v>130.0</v>
      </c>
      <c r="C203">
        <v>60.0</v>
      </c>
      <c r="D203">
        <v>4.0</v>
      </c>
      <c r="E203" t="str">
        <f t="shared" si="1"/>
        <v>3.5</v>
      </c>
      <c r="F203">
        <v>2.0</v>
      </c>
      <c r="G203">
        <v>6.0</v>
      </c>
      <c r="H203" t="str">
        <f t="shared" si="2"/>
        <v>12</v>
      </c>
      <c r="I203">
        <v>120.0</v>
      </c>
      <c r="J203" t="str">
        <f t="shared" si="3"/>
        <v>381</v>
      </c>
      <c r="K203" t="str">
        <f t="shared" si="4"/>
        <v>1085.85</v>
      </c>
      <c r="L203" t="str">
        <f t="shared" si="5"/>
        <v>9.04875</v>
      </c>
      <c r="M203" t="str">
        <f t="shared" si="6"/>
        <v>285</v>
      </c>
      <c r="N203" t="s">
        <v>187</v>
      </c>
      <c r="O203" t="s">
        <v>480</v>
      </c>
      <c r="P203" t="s">
        <v>481</v>
      </c>
    </row>
    <row r="204" ht="15.75" customHeight="1">
      <c r="A204">
        <v>202.0</v>
      </c>
      <c r="B204">
        <v>112.0</v>
      </c>
      <c r="C204">
        <v>134.0</v>
      </c>
      <c r="D204">
        <v>3.0</v>
      </c>
      <c r="E204" t="str">
        <f t="shared" si="1"/>
        <v>5.7</v>
      </c>
      <c r="F204">
        <v>2.0</v>
      </c>
      <c r="G204">
        <v>4.0</v>
      </c>
      <c r="H204" t="str">
        <f t="shared" si="2"/>
        <v>8</v>
      </c>
      <c r="I204">
        <v>176.0</v>
      </c>
      <c r="J204" t="str">
        <f t="shared" si="3"/>
        <v>558.8</v>
      </c>
      <c r="K204" t="str">
        <f t="shared" si="4"/>
        <v>1380.236</v>
      </c>
      <c r="L204" t="str">
        <f t="shared" si="5"/>
        <v>17.25295</v>
      </c>
      <c r="M204" t="str">
        <f t="shared" si="6"/>
        <v>247</v>
      </c>
      <c r="N204" t="s">
        <v>187</v>
      </c>
      <c r="O204" t="s">
        <v>482</v>
      </c>
      <c r="P204" t="s">
        <v>483</v>
      </c>
    </row>
    <row r="205" ht="15.75" customHeight="1">
      <c r="A205">
        <v>203.0</v>
      </c>
      <c r="B205">
        <v>240.0</v>
      </c>
      <c r="C205">
        <v>145.0</v>
      </c>
      <c r="D205">
        <v>3.0</v>
      </c>
      <c r="E205" t="str">
        <f t="shared" si="1"/>
        <v>6.341666667</v>
      </c>
      <c r="F205">
        <v>1.0</v>
      </c>
      <c r="G205">
        <v>3.0</v>
      </c>
      <c r="H205" t="str">
        <f t="shared" si="2"/>
        <v>3</v>
      </c>
      <c r="I205">
        <v>143.0</v>
      </c>
      <c r="J205" t="str">
        <f t="shared" si="3"/>
        <v>454.025</v>
      </c>
      <c r="K205" t="str">
        <f t="shared" si="4"/>
        <v>1180.465</v>
      </c>
      <c r="L205" t="str">
        <f t="shared" si="5"/>
        <v>39.34883333</v>
      </c>
      <c r="M205" t="str">
        <f t="shared" si="6"/>
        <v>260</v>
      </c>
      <c r="N205" t="s">
        <v>187</v>
      </c>
      <c r="O205" t="s">
        <v>484</v>
      </c>
      <c r="P205" t="s">
        <v>485</v>
      </c>
    </row>
    <row r="206" ht="15.75" customHeight="1">
      <c r="A206">
        <v>204.0</v>
      </c>
      <c r="B206">
        <v>81.5</v>
      </c>
      <c r="C206">
        <v>98.0</v>
      </c>
      <c r="D206">
        <v>3.0</v>
      </c>
      <c r="E206" t="str">
        <f t="shared" si="1"/>
        <v>3.6</v>
      </c>
      <c r="F206">
        <v>2.0</v>
      </c>
      <c r="G206">
        <v>3.0</v>
      </c>
      <c r="H206" t="str">
        <f t="shared" si="2"/>
        <v>6</v>
      </c>
      <c r="I206">
        <v>96.0</v>
      </c>
      <c r="J206" t="str">
        <f t="shared" si="3"/>
        <v>304.8</v>
      </c>
      <c r="K206" t="str">
        <f t="shared" si="4"/>
        <v>566.928</v>
      </c>
      <c r="L206" t="str">
        <f t="shared" si="5"/>
        <v>9.4488</v>
      </c>
      <c r="M206" t="str">
        <f t="shared" si="6"/>
        <v>186</v>
      </c>
      <c r="N206" t="s">
        <v>187</v>
      </c>
      <c r="O206" t="s">
        <v>486</v>
      </c>
      <c r="P206" t="s">
        <v>487</v>
      </c>
    </row>
    <row r="207" ht="15.75" customHeight="1">
      <c r="A207">
        <v>205.0</v>
      </c>
      <c r="B207">
        <v>60.0</v>
      </c>
      <c r="C207">
        <v>54.0</v>
      </c>
      <c r="D207">
        <v>3.0</v>
      </c>
      <c r="E207" t="str">
        <f t="shared" si="1"/>
        <v>3.15</v>
      </c>
      <c r="F207">
        <v>4.0</v>
      </c>
      <c r="G207">
        <v>6.0</v>
      </c>
      <c r="H207" t="str">
        <f t="shared" si="2"/>
        <v>24</v>
      </c>
      <c r="I207">
        <v>108.0</v>
      </c>
      <c r="J207" t="str">
        <f t="shared" si="3"/>
        <v>342.9</v>
      </c>
      <c r="K207" t="str">
        <f t="shared" si="4"/>
        <v>922.401</v>
      </c>
      <c r="L207" t="str">
        <f t="shared" si="5"/>
        <v>3.8433375</v>
      </c>
      <c r="M207" t="str">
        <f t="shared" si="6"/>
        <v>269</v>
      </c>
      <c r="N207" t="s">
        <v>182</v>
      </c>
      <c r="O207" t="s">
        <v>488</v>
      </c>
      <c r="P207" t="s">
        <v>489</v>
      </c>
    </row>
    <row r="208" ht="15.75" customHeight="1">
      <c r="A208">
        <v>206.0</v>
      </c>
      <c r="B208">
        <v>30.0</v>
      </c>
      <c r="C208">
        <v>40.0</v>
      </c>
      <c r="D208">
        <v>3.0</v>
      </c>
      <c r="E208" t="str">
        <f t="shared" si="1"/>
        <v>2.8625</v>
      </c>
      <c r="F208">
        <v>11.0</v>
      </c>
      <c r="G208">
        <v>8.0</v>
      </c>
      <c r="H208" t="str">
        <f t="shared" si="2"/>
        <v>88</v>
      </c>
      <c r="I208">
        <v>108.0</v>
      </c>
      <c r="J208" t="str">
        <f t="shared" si="3"/>
        <v>342.9</v>
      </c>
      <c r="K208" t="str">
        <f t="shared" si="4"/>
        <v>1303.02</v>
      </c>
      <c r="L208" t="str">
        <f t="shared" si="5"/>
        <v>1.480704545</v>
      </c>
      <c r="M208" t="str">
        <f t="shared" si="6"/>
        <v>380</v>
      </c>
      <c r="N208" t="s">
        <v>182</v>
      </c>
      <c r="O208" t="s">
        <v>490</v>
      </c>
      <c r="P208" t="s">
        <v>491</v>
      </c>
    </row>
    <row r="209" ht="15.75" customHeight="1">
      <c r="A209">
        <v>207.0</v>
      </c>
      <c r="B209">
        <v>155.0</v>
      </c>
      <c r="C209">
        <v>89.0</v>
      </c>
      <c r="D209">
        <v>4.0</v>
      </c>
      <c r="E209" t="str">
        <f t="shared" si="1"/>
        <v>4.133333333</v>
      </c>
      <c r="F209">
        <v>2.0</v>
      </c>
      <c r="G209">
        <v>6.0</v>
      </c>
      <c r="H209" t="str">
        <f t="shared" si="2"/>
        <v>12</v>
      </c>
      <c r="I209">
        <v>176.0</v>
      </c>
      <c r="J209" t="str">
        <f t="shared" si="3"/>
        <v>558.8</v>
      </c>
      <c r="K209" t="str">
        <f t="shared" si="4"/>
        <v>1871.98</v>
      </c>
      <c r="L209" t="str">
        <f t="shared" si="5"/>
        <v>15.59983333</v>
      </c>
      <c r="M209" t="str">
        <f t="shared" si="6"/>
        <v>335</v>
      </c>
      <c r="N209" t="s">
        <v>187</v>
      </c>
      <c r="O209" t="s">
        <v>492</v>
      </c>
      <c r="P209" t="s">
        <v>493</v>
      </c>
    </row>
    <row r="210" ht="15.75" customHeight="1">
      <c r="A210">
        <v>208.0</v>
      </c>
      <c r="B210">
        <v>60.0</v>
      </c>
      <c r="C210">
        <v>110.0</v>
      </c>
      <c r="D210">
        <v>5.0</v>
      </c>
      <c r="E210" t="str">
        <f t="shared" si="1"/>
        <v>4.3</v>
      </c>
      <c r="F210">
        <v>4.0</v>
      </c>
      <c r="G210">
        <v>3.0</v>
      </c>
      <c r="H210" t="str">
        <f t="shared" si="2"/>
        <v>12</v>
      </c>
      <c r="I210">
        <v>108.0</v>
      </c>
      <c r="J210" t="str">
        <f t="shared" si="3"/>
        <v>342.9</v>
      </c>
      <c r="K210" t="str">
        <f t="shared" si="4"/>
        <v>949.833</v>
      </c>
      <c r="L210" t="str">
        <f t="shared" si="5"/>
        <v>7.915275</v>
      </c>
      <c r="M210" t="str">
        <f t="shared" si="6"/>
        <v>277</v>
      </c>
      <c r="N210" t="s">
        <v>182</v>
      </c>
      <c r="O210" t="s">
        <v>494</v>
      </c>
      <c r="P210" t="s">
        <v>495</v>
      </c>
    </row>
    <row r="211" ht="15.75" customHeight="1">
      <c r="A211">
        <v>209.0</v>
      </c>
      <c r="B211">
        <v>62.0</v>
      </c>
      <c r="C211">
        <v>451.0</v>
      </c>
      <c r="D211">
        <v>3.0</v>
      </c>
      <c r="E211" t="str">
        <f t="shared" si="1"/>
        <v>3.025</v>
      </c>
      <c r="F211">
        <v>4.0</v>
      </c>
      <c r="G211">
        <v>1.0</v>
      </c>
      <c r="H211" t="str">
        <f t="shared" si="2"/>
        <v>4</v>
      </c>
      <c r="I211">
        <v>143.0</v>
      </c>
      <c r="J211" t="str">
        <f t="shared" si="3"/>
        <v>454.025</v>
      </c>
      <c r="K211" t="str">
        <f t="shared" si="4"/>
        <v>1257.64925</v>
      </c>
      <c r="L211" t="str">
        <f t="shared" si="5"/>
        <v>31.44123125</v>
      </c>
      <c r="M211" t="str">
        <f t="shared" si="6"/>
        <v>277</v>
      </c>
      <c r="N211" t="s">
        <v>182</v>
      </c>
      <c r="O211" t="s">
        <v>496</v>
      </c>
    </row>
    <row r="212" ht="15.75" customHeight="1">
      <c r="A212">
        <v>210.0</v>
      </c>
      <c r="B212">
        <v>120.0</v>
      </c>
      <c r="C212">
        <v>68.0</v>
      </c>
      <c r="D212">
        <v>4.0</v>
      </c>
      <c r="E212" t="str">
        <f t="shared" si="1"/>
        <v>3.4375</v>
      </c>
      <c r="F212">
        <v>3.0</v>
      </c>
      <c r="G212">
        <v>6.0</v>
      </c>
      <c r="H212" t="str">
        <f t="shared" si="2"/>
        <v>18</v>
      </c>
      <c r="I212">
        <v>135.0</v>
      </c>
      <c r="J212" t="str">
        <f t="shared" si="3"/>
        <v>428.625</v>
      </c>
      <c r="K212" t="str">
        <f t="shared" si="4"/>
        <v>1667.35125</v>
      </c>
      <c r="L212" t="str">
        <f t="shared" si="5"/>
        <v>9.2630625</v>
      </c>
      <c r="M212" t="str">
        <f t="shared" si="6"/>
        <v>389</v>
      </c>
      <c r="N212" t="s">
        <v>187</v>
      </c>
      <c r="O212" t="s">
        <v>497</v>
      </c>
      <c r="P212" t="s">
        <v>498</v>
      </c>
    </row>
    <row r="213" ht="15.75" customHeight="1">
      <c r="A213">
        <v>211.0</v>
      </c>
      <c r="B213">
        <v>185.0</v>
      </c>
      <c r="C213">
        <v>15.0</v>
      </c>
      <c r="D213">
        <v>3.0</v>
      </c>
      <c r="E213" t="str">
        <f t="shared" si="1"/>
        <v>2.929411765</v>
      </c>
      <c r="F213">
        <v>1.0</v>
      </c>
      <c r="G213">
        <v>17.0</v>
      </c>
      <c r="H213" t="str">
        <f t="shared" si="2"/>
        <v>17</v>
      </c>
      <c r="I213">
        <v>96.0</v>
      </c>
      <c r="J213" t="str">
        <f t="shared" si="3"/>
        <v>304.8</v>
      </c>
      <c r="K213" t="str">
        <f t="shared" si="4"/>
        <v>624.84</v>
      </c>
      <c r="L213" t="str">
        <f t="shared" si="5"/>
        <v>3.675529412</v>
      </c>
      <c r="M213" t="str">
        <f t="shared" si="6"/>
        <v>205</v>
      </c>
      <c r="N213" t="s">
        <v>187</v>
      </c>
      <c r="O213" t="s">
        <v>499</v>
      </c>
      <c r="P213" t="s">
        <v>500</v>
      </c>
    </row>
    <row r="214" ht="15.75" customHeight="1">
      <c r="A214">
        <v>212.0</v>
      </c>
      <c r="B214">
        <v>90.0</v>
      </c>
      <c r="C214">
        <v>45.0</v>
      </c>
      <c r="D214">
        <v>3.0</v>
      </c>
      <c r="E214" t="str">
        <f t="shared" si="1"/>
        <v>2.625</v>
      </c>
      <c r="F214">
        <v>3.0</v>
      </c>
      <c r="G214">
        <v>9.0</v>
      </c>
      <c r="H214" t="str">
        <f t="shared" si="2"/>
        <v>27</v>
      </c>
      <c r="I214">
        <v>135.0</v>
      </c>
      <c r="J214" t="str">
        <f t="shared" si="3"/>
        <v>428.625</v>
      </c>
      <c r="K214" t="str">
        <f t="shared" si="4"/>
        <v>1268.73</v>
      </c>
      <c r="L214" t="str">
        <f t="shared" si="5"/>
        <v>4.699</v>
      </c>
      <c r="M214" t="str">
        <f t="shared" si="6"/>
        <v>296</v>
      </c>
      <c r="N214" t="s">
        <v>187</v>
      </c>
      <c r="O214" t="s">
        <v>501</v>
      </c>
      <c r="P214" t="s">
        <v>500</v>
      </c>
    </row>
    <row r="215" ht="15.75" customHeight="1">
      <c r="A215">
        <v>213.0</v>
      </c>
      <c r="B215">
        <v>80.0</v>
      </c>
      <c r="C215">
        <v>122.0</v>
      </c>
      <c r="D215">
        <v>3.0</v>
      </c>
      <c r="E215" t="str">
        <f t="shared" si="1"/>
        <v>5</v>
      </c>
      <c r="F215">
        <v>4.0</v>
      </c>
      <c r="G215">
        <v>3.0</v>
      </c>
      <c r="H215" t="str">
        <f t="shared" si="2"/>
        <v>12</v>
      </c>
      <c r="I215">
        <v>120.0</v>
      </c>
      <c r="J215" t="str">
        <f t="shared" si="3"/>
        <v>381</v>
      </c>
      <c r="K215" t="str">
        <f t="shared" si="4"/>
        <v>1329.69</v>
      </c>
      <c r="L215" t="str">
        <f t="shared" si="5"/>
        <v>11.08075</v>
      </c>
      <c r="M215" t="str">
        <f t="shared" si="6"/>
        <v>349</v>
      </c>
      <c r="N215" t="s">
        <v>182</v>
      </c>
      <c r="O215" t="s">
        <v>502</v>
      </c>
    </row>
    <row r="216" ht="15.75" customHeight="1">
      <c r="A216">
        <v>214.0</v>
      </c>
      <c r="B216">
        <v>87.0</v>
      </c>
      <c r="C216">
        <v>68.0</v>
      </c>
      <c r="D216">
        <v>3.0</v>
      </c>
      <c r="E216" t="str">
        <f t="shared" si="1"/>
        <v>3.4375</v>
      </c>
      <c r="F216">
        <v>4.0</v>
      </c>
      <c r="G216">
        <v>6.0</v>
      </c>
      <c r="H216" t="str">
        <f t="shared" si="2"/>
        <v>24</v>
      </c>
      <c r="I216">
        <v>135.0</v>
      </c>
      <c r="J216" t="str">
        <f t="shared" si="3"/>
        <v>428.625</v>
      </c>
      <c r="K216" t="str">
        <f t="shared" si="4"/>
        <v>1615.91625</v>
      </c>
      <c r="L216" t="str">
        <f t="shared" si="5"/>
        <v>6.732984375</v>
      </c>
      <c r="M216" t="str">
        <f t="shared" si="6"/>
        <v>377</v>
      </c>
      <c r="N216" t="s">
        <v>187</v>
      </c>
      <c r="O216" t="s">
        <v>503</v>
      </c>
      <c r="P216" t="s">
        <v>504</v>
      </c>
    </row>
    <row r="217" ht="15.75" customHeight="1">
      <c r="A217">
        <v>215.0</v>
      </c>
      <c r="B217">
        <v>150.0</v>
      </c>
      <c r="C217">
        <v>103.0</v>
      </c>
      <c r="D217">
        <v>4.0</v>
      </c>
      <c r="E217" t="str">
        <f t="shared" si="1"/>
        <v>4.15625</v>
      </c>
      <c r="F217">
        <v>2.0</v>
      </c>
      <c r="G217">
        <v>4.0</v>
      </c>
      <c r="H217" t="str">
        <f t="shared" si="2"/>
        <v>8</v>
      </c>
      <c r="I217">
        <v>135.0</v>
      </c>
      <c r="J217" t="str">
        <f t="shared" si="3"/>
        <v>428.625</v>
      </c>
      <c r="K217" t="str">
        <f t="shared" si="4"/>
        <v>1393.03125</v>
      </c>
      <c r="L217" t="str">
        <f t="shared" si="5"/>
        <v>17.41289063</v>
      </c>
      <c r="M217" t="str">
        <f t="shared" si="6"/>
        <v>325</v>
      </c>
      <c r="N217" t="s">
        <v>187</v>
      </c>
      <c r="O217" t="s">
        <v>505</v>
      </c>
      <c r="P217" t="s">
        <v>506</v>
      </c>
    </row>
    <row r="218" ht="15.75" customHeight="1">
      <c r="A218">
        <v>217.0</v>
      </c>
      <c r="B218">
        <v>15.0</v>
      </c>
      <c r="C218">
        <v>47.0</v>
      </c>
      <c r="D218">
        <v>3.0</v>
      </c>
      <c r="E218" t="str">
        <f t="shared" si="1"/>
        <v>3.00625</v>
      </c>
      <c r="F218">
        <v>12.0</v>
      </c>
      <c r="G218">
        <v>8.0</v>
      </c>
      <c r="H218" t="str">
        <f t="shared" si="2"/>
        <v>96</v>
      </c>
      <c r="I218">
        <v>126.0</v>
      </c>
      <c r="J218" t="str">
        <f t="shared" si="3"/>
        <v>400.05</v>
      </c>
      <c r="K218" t="str">
        <f t="shared" si="4"/>
        <v>932.1165</v>
      </c>
      <c r="L218" t="str">
        <f t="shared" si="5"/>
        <v>0.9709546875</v>
      </c>
      <c r="M218" t="str">
        <f t="shared" si="6"/>
        <v>233</v>
      </c>
      <c r="N218" t="s">
        <v>182</v>
      </c>
      <c r="O218" t="s">
        <v>507</v>
      </c>
    </row>
    <row r="219" ht="15.75" customHeight="1">
      <c r="A219">
        <v>218.0</v>
      </c>
      <c r="B219">
        <v>166.0</v>
      </c>
      <c r="C219">
        <v>58.0</v>
      </c>
      <c r="D219">
        <v>3.0</v>
      </c>
      <c r="E219" t="str">
        <f t="shared" si="1"/>
        <v>2.96</v>
      </c>
      <c r="F219">
        <v>2.0</v>
      </c>
      <c r="G219">
        <v>5.0</v>
      </c>
      <c r="H219" t="str">
        <f t="shared" si="2"/>
        <v>10</v>
      </c>
      <c r="I219">
        <v>96.0</v>
      </c>
      <c r="J219" t="str">
        <f t="shared" si="3"/>
        <v>304.8</v>
      </c>
      <c r="K219" t="str">
        <f t="shared" si="4"/>
        <v>1082.04</v>
      </c>
      <c r="L219" t="str">
        <f t="shared" si="5"/>
        <v>10.8204</v>
      </c>
      <c r="M219" t="str">
        <f t="shared" si="6"/>
        <v>355</v>
      </c>
      <c r="N219" t="s">
        <v>187</v>
      </c>
      <c r="O219" t="s">
        <v>508</v>
      </c>
      <c r="P219" t="s">
        <v>509</v>
      </c>
    </row>
    <row r="220" ht="15.75" customHeight="1">
      <c r="A220">
        <v>219.0</v>
      </c>
      <c r="B220">
        <v>105.0</v>
      </c>
      <c r="C220">
        <v>210.0</v>
      </c>
      <c r="D220">
        <v>3.0</v>
      </c>
      <c r="E220" t="str">
        <f t="shared" si="1"/>
        <v>4.3125</v>
      </c>
      <c r="F220">
        <v>3.0</v>
      </c>
      <c r="G220">
        <v>2.0</v>
      </c>
      <c r="H220" t="str">
        <f t="shared" si="2"/>
        <v>6</v>
      </c>
      <c r="I220">
        <v>135.0</v>
      </c>
      <c r="J220" t="str">
        <f t="shared" si="3"/>
        <v>428.625</v>
      </c>
      <c r="K220" t="str">
        <f t="shared" si="4"/>
        <v>1461.61125</v>
      </c>
      <c r="L220" t="str">
        <f t="shared" si="5"/>
        <v>24.3601875</v>
      </c>
      <c r="M220" t="str">
        <f t="shared" si="6"/>
        <v>341</v>
      </c>
      <c r="N220" t="s">
        <v>187</v>
      </c>
      <c r="O220" t="s">
        <v>510</v>
      </c>
    </row>
    <row r="221" ht="15.75" customHeight="1">
      <c r="A221">
        <v>220.0</v>
      </c>
      <c r="B221">
        <v>58.0</v>
      </c>
      <c r="C221">
        <v>192.0</v>
      </c>
      <c r="D221">
        <v>3.0</v>
      </c>
      <c r="E221" t="str">
        <f t="shared" si="1"/>
        <v>8.025</v>
      </c>
      <c r="F221">
        <v>6.0</v>
      </c>
      <c r="G221">
        <v>2.0</v>
      </c>
      <c r="H221" t="str">
        <f t="shared" si="2"/>
        <v>12</v>
      </c>
      <c r="I221">
        <v>126.0</v>
      </c>
      <c r="J221" t="str">
        <f t="shared" si="3"/>
        <v>400.05</v>
      </c>
      <c r="K221" t="str">
        <f t="shared" si="4"/>
        <v>1532.1915</v>
      </c>
      <c r="L221" t="str">
        <f t="shared" si="5"/>
        <v>12.7682625</v>
      </c>
      <c r="M221" t="str">
        <f t="shared" si="6"/>
        <v>383</v>
      </c>
      <c r="N221" t="s">
        <v>187</v>
      </c>
      <c r="O221" t="s">
        <v>511</v>
      </c>
    </row>
    <row r="222" ht="15.75" customHeight="1">
      <c r="A222">
        <v>221.0</v>
      </c>
      <c r="B222">
        <v>123.0</v>
      </c>
      <c r="C222">
        <v>79.0</v>
      </c>
      <c r="D222">
        <v>5.0</v>
      </c>
      <c r="E222" t="str">
        <f t="shared" si="1"/>
        <v>4.34375</v>
      </c>
      <c r="F222">
        <v>2.0</v>
      </c>
      <c r="G222">
        <v>4.0</v>
      </c>
      <c r="H222" t="str">
        <f t="shared" si="2"/>
        <v>8</v>
      </c>
      <c r="I222">
        <v>105.0</v>
      </c>
      <c r="J222" t="str">
        <f t="shared" si="3"/>
        <v>333.375</v>
      </c>
      <c r="K222" t="str">
        <f t="shared" si="4"/>
        <v>910.11375</v>
      </c>
      <c r="L222" t="str">
        <f t="shared" si="5"/>
        <v>11.37642188</v>
      </c>
      <c r="M222" t="str">
        <f t="shared" si="6"/>
        <v>273</v>
      </c>
      <c r="N222" t="s">
        <v>187</v>
      </c>
      <c r="O222" t="s">
        <v>512</v>
      </c>
      <c r="P222" t="s">
        <v>513</v>
      </c>
    </row>
    <row r="223" ht="15.75" customHeight="1">
      <c r="A223">
        <v>222.0</v>
      </c>
      <c r="B223">
        <v>170.0</v>
      </c>
      <c r="C223">
        <v>45.0</v>
      </c>
      <c r="D223">
        <v>3.0</v>
      </c>
      <c r="E223" t="str">
        <f t="shared" si="1"/>
        <v>2.625</v>
      </c>
      <c r="F223">
        <v>2.0</v>
      </c>
      <c r="G223">
        <v>7.0</v>
      </c>
      <c r="H223" t="str">
        <f t="shared" si="2"/>
        <v>14</v>
      </c>
      <c r="I223">
        <v>105.0</v>
      </c>
      <c r="J223" t="str">
        <f t="shared" si="3"/>
        <v>333.375</v>
      </c>
      <c r="K223" t="str">
        <f t="shared" si="4"/>
        <v>1210.15125</v>
      </c>
      <c r="L223" t="str">
        <f t="shared" si="5"/>
        <v>8.6439375</v>
      </c>
      <c r="M223" t="str">
        <f t="shared" si="6"/>
        <v>363</v>
      </c>
      <c r="N223" t="s">
        <v>182</v>
      </c>
      <c r="O223" t="s">
        <v>514</v>
      </c>
    </row>
    <row r="224" ht="15.75" customHeight="1">
      <c r="A224">
        <v>223.0</v>
      </c>
      <c r="B224">
        <v>163.0</v>
      </c>
      <c r="C224">
        <v>75.0</v>
      </c>
      <c r="D224">
        <v>3.0</v>
      </c>
      <c r="E224" t="str">
        <f t="shared" si="1"/>
        <v>2.7875</v>
      </c>
      <c r="F224">
        <v>2.0</v>
      </c>
      <c r="G224">
        <v>4.0</v>
      </c>
      <c r="H224" t="str">
        <f t="shared" si="2"/>
        <v>8</v>
      </c>
      <c r="I224">
        <v>98.0</v>
      </c>
      <c r="J224" t="str">
        <f t="shared" si="3"/>
        <v>311.15</v>
      </c>
      <c r="K224" t="str">
        <f t="shared" si="4"/>
        <v>1085.9135</v>
      </c>
      <c r="L224" t="str">
        <f t="shared" si="5"/>
        <v>13.57391875</v>
      </c>
      <c r="M224" t="str">
        <f t="shared" si="6"/>
        <v>349</v>
      </c>
      <c r="N224" t="s">
        <v>182</v>
      </c>
      <c r="O224" t="s">
        <v>515</v>
      </c>
      <c r="P224" t="s">
        <v>516</v>
      </c>
    </row>
    <row r="225" ht="15.75" customHeight="1">
      <c r="A225">
        <v>224.0</v>
      </c>
      <c r="B225">
        <v>140.0</v>
      </c>
      <c r="C225">
        <v>35.0</v>
      </c>
      <c r="D225">
        <v>3.0</v>
      </c>
      <c r="E225" t="str">
        <f t="shared" si="1"/>
        <v>3.1</v>
      </c>
      <c r="F225">
        <v>2.0</v>
      </c>
      <c r="G225">
        <v>8.0</v>
      </c>
      <c r="H225" t="str">
        <f t="shared" si="2"/>
        <v>16</v>
      </c>
      <c r="I225">
        <v>96.0</v>
      </c>
      <c r="J225" t="str">
        <f t="shared" si="3"/>
        <v>304.8</v>
      </c>
      <c r="K225" t="str">
        <f t="shared" si="4"/>
        <v>923.544</v>
      </c>
      <c r="L225" t="str">
        <f t="shared" si="5"/>
        <v>5.77215</v>
      </c>
      <c r="M225" t="str">
        <f t="shared" si="6"/>
        <v>303</v>
      </c>
      <c r="N225" t="s">
        <v>182</v>
      </c>
      <c r="O225" t="s">
        <v>517</v>
      </c>
    </row>
    <row r="226" ht="15.75" customHeight="1">
      <c r="A226">
        <v>225.0</v>
      </c>
      <c r="B226">
        <v>125.0</v>
      </c>
      <c r="C226">
        <v>149.0</v>
      </c>
      <c r="D226">
        <v>3.0</v>
      </c>
      <c r="E226" t="str">
        <f t="shared" si="1"/>
        <v>6.575</v>
      </c>
      <c r="F226">
        <v>3.0</v>
      </c>
      <c r="G226">
        <v>2.0</v>
      </c>
      <c r="H226" t="str">
        <f t="shared" si="2"/>
        <v>6</v>
      </c>
      <c r="I226">
        <v>98.0</v>
      </c>
      <c r="J226" t="str">
        <f t="shared" si="3"/>
        <v>311.15</v>
      </c>
      <c r="K226" t="str">
        <f t="shared" si="4"/>
        <v>1247.7115</v>
      </c>
      <c r="L226" t="str">
        <f t="shared" si="5"/>
        <v>20.79519167</v>
      </c>
      <c r="M226" t="str">
        <f t="shared" si="6"/>
        <v>401</v>
      </c>
      <c r="N226" t="s">
        <v>187</v>
      </c>
      <c r="O226" t="s">
        <v>518</v>
      </c>
    </row>
    <row r="227" ht="15.75" customHeight="1">
      <c r="A227">
        <v>226.0</v>
      </c>
      <c r="B227">
        <v>157.0</v>
      </c>
      <c r="C227">
        <v>150.0</v>
      </c>
      <c r="D227">
        <v>4.0</v>
      </c>
      <c r="E227" t="str">
        <f t="shared" si="1"/>
        <v>5.575</v>
      </c>
      <c r="F227">
        <v>2.0</v>
      </c>
      <c r="G227">
        <v>2.0</v>
      </c>
      <c r="H227" t="str">
        <f t="shared" si="2"/>
        <v>4</v>
      </c>
      <c r="I227">
        <v>98.0</v>
      </c>
      <c r="J227" t="str">
        <f t="shared" si="3"/>
        <v>311.15</v>
      </c>
      <c r="K227" t="str">
        <f t="shared" si="4"/>
        <v>1054.7985</v>
      </c>
      <c r="L227" t="str">
        <f t="shared" si="5"/>
        <v>26.3699625</v>
      </c>
      <c r="M227" t="str">
        <f t="shared" si="6"/>
        <v>339</v>
      </c>
      <c r="N227" t="s">
        <v>187</v>
      </c>
      <c r="O227" t="s">
        <v>519</v>
      </c>
    </row>
    <row r="228" ht="15.75" customHeight="1">
      <c r="A228">
        <v>227.0</v>
      </c>
      <c r="B228">
        <v>109.0</v>
      </c>
      <c r="C228">
        <v>57.0</v>
      </c>
      <c r="D228">
        <v>3.0</v>
      </c>
      <c r="E228" t="str">
        <f t="shared" si="1"/>
        <v>3.96</v>
      </c>
      <c r="F228">
        <v>2.0</v>
      </c>
      <c r="G228">
        <v>5.0</v>
      </c>
      <c r="H228" t="str">
        <f t="shared" si="2"/>
        <v>10</v>
      </c>
      <c r="I228">
        <v>96.0</v>
      </c>
      <c r="J228" t="str">
        <f t="shared" si="3"/>
        <v>304.8</v>
      </c>
      <c r="K228" t="str">
        <f t="shared" si="4"/>
        <v>734.568</v>
      </c>
      <c r="L228" t="str">
        <f t="shared" si="5"/>
        <v>7.34568</v>
      </c>
      <c r="M228" t="str">
        <f t="shared" si="6"/>
        <v>241</v>
      </c>
      <c r="N228" t="s">
        <v>187</v>
      </c>
      <c r="O228" t="s">
        <v>520</v>
      </c>
      <c r="P228" t="s">
        <v>434</v>
      </c>
    </row>
    <row r="229" ht="15.75" customHeight="1">
      <c r="A229">
        <v>228.0</v>
      </c>
      <c r="B229">
        <v>130.0</v>
      </c>
      <c r="C229">
        <v>130.0</v>
      </c>
      <c r="D229">
        <v>3.0</v>
      </c>
      <c r="E229" t="str">
        <f t="shared" si="1"/>
        <v>3.35</v>
      </c>
      <c r="F229">
        <v>3.0</v>
      </c>
      <c r="G229">
        <v>3.0</v>
      </c>
      <c r="H229" t="str">
        <f t="shared" si="2"/>
        <v>9</v>
      </c>
      <c r="I229">
        <v>126.0</v>
      </c>
      <c r="J229" t="str">
        <f t="shared" si="3"/>
        <v>400.05</v>
      </c>
      <c r="K229" t="str">
        <f t="shared" si="4"/>
        <v>1664.208</v>
      </c>
      <c r="L229" t="str">
        <f t="shared" si="5"/>
        <v>18.4912</v>
      </c>
      <c r="M229" t="str">
        <f t="shared" si="6"/>
        <v>416</v>
      </c>
      <c r="N229" t="s">
        <v>182</v>
      </c>
      <c r="O229" t="s">
        <v>521</v>
      </c>
    </row>
    <row r="230" ht="15.75" customHeight="1">
      <c r="A230">
        <v>229.0</v>
      </c>
      <c r="B230">
        <v>228.0</v>
      </c>
      <c r="C230">
        <v>156.0</v>
      </c>
      <c r="D230">
        <v>3.0</v>
      </c>
      <c r="E230" t="str">
        <f t="shared" si="1"/>
        <v>5.925</v>
      </c>
      <c r="F230">
        <v>1.0</v>
      </c>
      <c r="G230">
        <v>3.0</v>
      </c>
      <c r="H230" t="str">
        <f t="shared" si="2"/>
        <v>3</v>
      </c>
      <c r="I230">
        <v>153.0</v>
      </c>
      <c r="J230" t="str">
        <f t="shared" si="3"/>
        <v>485.775</v>
      </c>
      <c r="K230" t="str">
        <f t="shared" si="4"/>
        <v>1204.722</v>
      </c>
      <c r="L230" t="str">
        <f t="shared" si="5"/>
        <v>40.1574</v>
      </c>
      <c r="M230" t="str">
        <f t="shared" si="6"/>
        <v>248</v>
      </c>
      <c r="N230" t="s">
        <v>187</v>
      </c>
      <c r="O230" t="s">
        <v>522</v>
      </c>
      <c r="P230" t="s">
        <v>523</v>
      </c>
    </row>
    <row r="231" ht="15.75" customHeight="1">
      <c r="A231">
        <v>230.0</v>
      </c>
      <c r="B231">
        <v>230.0</v>
      </c>
      <c r="C231">
        <v>148.0</v>
      </c>
      <c r="D231">
        <v>3.0</v>
      </c>
      <c r="E231" t="str">
        <f t="shared" si="1"/>
        <v>4.4</v>
      </c>
      <c r="F231">
        <v>1.0</v>
      </c>
      <c r="G231">
        <v>2.0</v>
      </c>
      <c r="H231" t="str">
        <f t="shared" si="2"/>
        <v>2</v>
      </c>
      <c r="I231">
        <v>96.0</v>
      </c>
      <c r="J231" t="str">
        <f t="shared" si="3"/>
        <v>304.8</v>
      </c>
      <c r="K231" t="str">
        <f t="shared" si="4"/>
        <v>762</v>
      </c>
      <c r="L231" t="str">
        <f t="shared" si="5"/>
        <v>38.1</v>
      </c>
      <c r="M231" t="str">
        <f t="shared" si="6"/>
        <v>250</v>
      </c>
      <c r="N231" t="s">
        <v>187</v>
      </c>
      <c r="O231" t="s">
        <v>524</v>
      </c>
      <c r="P231" t="s">
        <v>525</v>
      </c>
    </row>
    <row r="232" ht="15.75" customHeight="1">
      <c r="A232">
        <v>231.0</v>
      </c>
      <c r="B232">
        <v>230.0</v>
      </c>
      <c r="C232">
        <v>148.0</v>
      </c>
      <c r="D232">
        <v>3.0</v>
      </c>
      <c r="E232" t="str">
        <f t="shared" si="1"/>
        <v>4.4</v>
      </c>
      <c r="F232">
        <v>1.0</v>
      </c>
      <c r="G232">
        <v>2.0</v>
      </c>
      <c r="H232" t="str">
        <f t="shared" si="2"/>
        <v>2</v>
      </c>
      <c r="I232">
        <v>96.0</v>
      </c>
      <c r="J232" t="str">
        <f t="shared" si="3"/>
        <v>304.8</v>
      </c>
      <c r="K232" t="str">
        <f t="shared" si="4"/>
        <v>762</v>
      </c>
      <c r="L232" t="str">
        <f t="shared" si="5"/>
        <v>38.1</v>
      </c>
      <c r="M232" t="str">
        <f t="shared" si="6"/>
        <v>250</v>
      </c>
      <c r="N232" t="s">
        <v>187</v>
      </c>
      <c r="O232" t="s">
        <v>526</v>
      </c>
      <c r="P232" t="s">
        <v>527</v>
      </c>
    </row>
    <row r="233" ht="15.75" customHeight="1">
      <c r="A233">
        <v>232.0</v>
      </c>
      <c r="B233">
        <v>138.0</v>
      </c>
      <c r="C233">
        <v>95.0</v>
      </c>
      <c r="D233">
        <v>4.0</v>
      </c>
      <c r="E233" t="str">
        <f t="shared" si="1"/>
        <v>5.0125</v>
      </c>
      <c r="F233">
        <v>2.0</v>
      </c>
      <c r="G233">
        <v>4.0</v>
      </c>
      <c r="H233" t="str">
        <f t="shared" si="2"/>
        <v>8</v>
      </c>
      <c r="I233">
        <v>126.0</v>
      </c>
      <c r="J233" t="str">
        <f t="shared" si="3"/>
        <v>400.05</v>
      </c>
      <c r="K233" t="str">
        <f t="shared" si="4"/>
        <v>1204.1505</v>
      </c>
      <c r="L233" t="str">
        <f t="shared" si="5"/>
        <v>15.05188125</v>
      </c>
      <c r="M233" t="str">
        <f t="shared" si="6"/>
        <v>301</v>
      </c>
      <c r="N233" t="s">
        <v>187</v>
      </c>
      <c r="O233" t="s">
        <v>526</v>
      </c>
      <c r="P233" t="s">
        <v>528</v>
      </c>
    </row>
    <row r="234" ht="15.75" customHeight="1">
      <c r="A234">
        <v>233.0</v>
      </c>
      <c r="B234">
        <v>178.0</v>
      </c>
      <c r="C234">
        <v>158.0</v>
      </c>
      <c r="D234">
        <v>3.0</v>
      </c>
      <c r="E234" t="str">
        <f t="shared" si="1"/>
        <v>3.925</v>
      </c>
      <c r="F234">
        <v>2.0</v>
      </c>
      <c r="G234">
        <v>2.0</v>
      </c>
      <c r="H234" t="str">
        <f t="shared" si="2"/>
        <v>4</v>
      </c>
      <c r="I234">
        <v>102.0</v>
      </c>
      <c r="J234" t="str">
        <f t="shared" si="3"/>
        <v>323.85</v>
      </c>
      <c r="K234" t="str">
        <f t="shared" si="4"/>
        <v>1227.3915</v>
      </c>
      <c r="L234" t="str">
        <f t="shared" si="5"/>
        <v>30.6847875</v>
      </c>
      <c r="M234" t="str">
        <f t="shared" si="6"/>
        <v>379</v>
      </c>
      <c r="N234" t="s">
        <v>182</v>
      </c>
      <c r="O234" t="s">
        <v>529</v>
      </c>
    </row>
    <row r="235" ht="15.75" customHeight="1">
      <c r="A235">
        <v>234.0</v>
      </c>
      <c r="B235">
        <v>139.0</v>
      </c>
      <c r="C235">
        <v>151.9</v>
      </c>
      <c r="D235">
        <v>3.0</v>
      </c>
      <c r="E235" t="str">
        <f t="shared" si="1"/>
        <v>3.675</v>
      </c>
      <c r="F235">
        <v>2.0</v>
      </c>
      <c r="G235">
        <v>2.0</v>
      </c>
      <c r="H235" t="str">
        <f t="shared" si="2"/>
        <v>4</v>
      </c>
      <c r="I235">
        <v>98.0</v>
      </c>
      <c r="J235" t="str">
        <f t="shared" si="3"/>
        <v>311.15</v>
      </c>
      <c r="K235" t="str">
        <f t="shared" si="4"/>
        <v>936.5615</v>
      </c>
      <c r="L235" t="str">
        <f t="shared" si="5"/>
        <v>23.4140375</v>
      </c>
      <c r="M235" t="str">
        <f t="shared" si="6"/>
        <v>301</v>
      </c>
      <c r="N235" t="s">
        <v>182</v>
      </c>
      <c r="O235" t="s">
        <v>530</v>
      </c>
    </row>
    <row r="236" ht="15.75" customHeight="1">
      <c r="A236">
        <v>235.0</v>
      </c>
      <c r="B236">
        <v>132.0</v>
      </c>
      <c r="C236">
        <v>45.0</v>
      </c>
      <c r="D236">
        <v>3.0</v>
      </c>
      <c r="E236" t="str">
        <f t="shared" si="1"/>
        <v>2.625</v>
      </c>
      <c r="F236">
        <v>2.0</v>
      </c>
      <c r="G236">
        <v>7.0</v>
      </c>
      <c r="H236" t="str">
        <f t="shared" si="2"/>
        <v>14</v>
      </c>
      <c r="I236">
        <v>105.0</v>
      </c>
      <c r="J236" t="str">
        <f t="shared" si="3"/>
        <v>333.375</v>
      </c>
      <c r="K236" t="str">
        <f t="shared" si="4"/>
        <v>956.78625</v>
      </c>
      <c r="L236" t="str">
        <f t="shared" si="5"/>
        <v>6.8341875</v>
      </c>
      <c r="M236" t="str">
        <f t="shared" si="6"/>
        <v>287</v>
      </c>
      <c r="N236" t="s">
        <v>187</v>
      </c>
      <c r="O236" t="s">
        <v>531</v>
      </c>
      <c r="P236" t="s">
        <v>532</v>
      </c>
    </row>
    <row r="237" ht="15.75" customHeight="1">
      <c r="A237">
        <v>236.0</v>
      </c>
      <c r="B237">
        <v>119.5</v>
      </c>
      <c r="C237">
        <v>80.0</v>
      </c>
      <c r="D237">
        <v>3.0</v>
      </c>
      <c r="E237" t="str">
        <f t="shared" si="1"/>
        <v>3.34375</v>
      </c>
      <c r="F237">
        <v>2.0</v>
      </c>
      <c r="G237">
        <v>4.0</v>
      </c>
      <c r="H237" t="str">
        <f t="shared" si="2"/>
        <v>8</v>
      </c>
      <c r="I237">
        <v>105.0</v>
      </c>
      <c r="J237" t="str">
        <f t="shared" si="3"/>
        <v>333.375</v>
      </c>
      <c r="K237" t="str">
        <f t="shared" si="4"/>
        <v>873.4425</v>
      </c>
      <c r="L237" t="str">
        <f t="shared" si="5"/>
        <v>10.91803125</v>
      </c>
      <c r="M237" t="str">
        <f t="shared" si="6"/>
        <v>262</v>
      </c>
      <c r="N237" t="s">
        <v>187</v>
      </c>
      <c r="O237" t="s">
        <v>533</v>
      </c>
      <c r="P237" t="s">
        <v>534</v>
      </c>
    </row>
    <row r="238" ht="15.75" customHeight="1">
      <c r="A238">
        <v>237.0</v>
      </c>
      <c r="B238">
        <v>38.0</v>
      </c>
      <c r="C238">
        <v>80.0</v>
      </c>
      <c r="D238">
        <v>3.0</v>
      </c>
      <c r="E238" t="str">
        <f t="shared" si="1"/>
        <v>3.34375</v>
      </c>
      <c r="F238">
        <v>10.0</v>
      </c>
      <c r="G238">
        <v>4.0</v>
      </c>
      <c r="H238" t="str">
        <f t="shared" si="2"/>
        <v>40</v>
      </c>
      <c r="I238">
        <v>105.0</v>
      </c>
      <c r="J238" t="str">
        <f t="shared" si="3"/>
        <v>333.375</v>
      </c>
      <c r="K238" t="str">
        <f t="shared" si="4"/>
        <v>1423.51125</v>
      </c>
      <c r="L238" t="str">
        <f t="shared" si="5"/>
        <v>3.558778125</v>
      </c>
      <c r="M238" t="str">
        <f t="shared" si="6"/>
        <v>427</v>
      </c>
      <c r="N238" t="s">
        <v>182</v>
      </c>
      <c r="O238" t="s">
        <v>535</v>
      </c>
      <c r="P238" s="126" t="s">
        <v>536</v>
      </c>
    </row>
    <row r="239" ht="15.75" customHeight="1">
      <c r="A239">
        <v>238.0</v>
      </c>
      <c r="B239">
        <v>32.0</v>
      </c>
      <c r="C239">
        <v>90.0</v>
      </c>
      <c r="D239">
        <v>3.0</v>
      </c>
      <c r="E239" t="str">
        <f t="shared" si="1"/>
        <v>3.133333333</v>
      </c>
      <c r="F239">
        <v>11.0</v>
      </c>
      <c r="G239">
        <v>6.0</v>
      </c>
      <c r="H239" t="str">
        <f t="shared" si="2"/>
        <v>66</v>
      </c>
      <c r="I239">
        <v>176.0</v>
      </c>
      <c r="J239" t="str">
        <f t="shared" si="3"/>
        <v>558.8</v>
      </c>
      <c r="K239" t="str">
        <f t="shared" si="4"/>
        <v>2246.376</v>
      </c>
      <c r="L239" t="str">
        <f t="shared" si="5"/>
        <v>3.4036</v>
      </c>
      <c r="M239" t="str">
        <f t="shared" si="6"/>
        <v>402</v>
      </c>
      <c r="N239" t="s">
        <v>182</v>
      </c>
      <c r="O239" t="s">
        <v>537</v>
      </c>
    </row>
    <row r="240" ht="15.75" customHeight="1">
      <c r="A240">
        <v>239.0</v>
      </c>
      <c r="B240">
        <v>100.0</v>
      </c>
      <c r="C240">
        <v>60.0</v>
      </c>
      <c r="D240">
        <v>3.0</v>
      </c>
      <c r="E240" t="str">
        <f t="shared" si="1"/>
        <v>3.5</v>
      </c>
      <c r="F240">
        <v>4.0</v>
      </c>
      <c r="G240">
        <v>6.0</v>
      </c>
      <c r="H240" t="str">
        <f t="shared" si="2"/>
        <v>24</v>
      </c>
      <c r="I240">
        <v>120.0</v>
      </c>
      <c r="J240" t="str">
        <f t="shared" si="3"/>
        <v>381</v>
      </c>
      <c r="K240" t="str">
        <f t="shared" si="4"/>
        <v>1634.49</v>
      </c>
      <c r="L240" t="str">
        <f t="shared" si="5"/>
        <v>6.810375</v>
      </c>
      <c r="M240" t="str">
        <f t="shared" si="6"/>
        <v>429</v>
      </c>
      <c r="N240" t="s">
        <v>187</v>
      </c>
      <c r="O240" t="s">
        <v>538</v>
      </c>
      <c r="P240" t="s">
        <v>539</v>
      </c>
    </row>
    <row r="241" ht="15.75" customHeight="1">
      <c r="A241">
        <v>240.0</v>
      </c>
      <c r="B241">
        <v>94.0</v>
      </c>
      <c r="C241">
        <v>424.0</v>
      </c>
      <c r="D241">
        <v>5.0</v>
      </c>
      <c r="E241" t="str">
        <f t="shared" si="1"/>
        <v>4.625</v>
      </c>
      <c r="F241">
        <v>2.0</v>
      </c>
      <c r="G241">
        <v>1.0</v>
      </c>
      <c r="H241" t="str">
        <f t="shared" si="2"/>
        <v>2</v>
      </c>
      <c r="I241">
        <v>135.0</v>
      </c>
      <c r="J241" t="str">
        <f t="shared" si="3"/>
        <v>428.625</v>
      </c>
      <c r="K241" t="str">
        <f t="shared" si="4"/>
        <v>921.54375</v>
      </c>
      <c r="L241" t="str">
        <f t="shared" si="5"/>
        <v>46.0771875</v>
      </c>
      <c r="M241" t="str">
        <f t="shared" si="6"/>
        <v>215</v>
      </c>
      <c r="N241" t="s">
        <v>187</v>
      </c>
      <c r="O241" t="s">
        <v>540</v>
      </c>
      <c r="P241" t="s">
        <v>541</v>
      </c>
    </row>
    <row r="242" ht="15.75" customHeight="1">
      <c r="A242">
        <v>241.0</v>
      </c>
      <c r="B242">
        <v>60.0</v>
      </c>
      <c r="C242">
        <v>124.0</v>
      </c>
      <c r="D242">
        <v>4.0</v>
      </c>
      <c r="E242" t="str">
        <f t="shared" si="1"/>
        <v>9.35</v>
      </c>
      <c r="F242">
        <v>6.0</v>
      </c>
      <c r="G242">
        <v>3.0</v>
      </c>
      <c r="H242" t="str">
        <f t="shared" si="2"/>
        <v>18</v>
      </c>
      <c r="I242">
        <v>126.0</v>
      </c>
      <c r="J242" t="str">
        <f t="shared" si="3"/>
        <v>400.05</v>
      </c>
      <c r="K242" t="str">
        <f t="shared" si="4"/>
        <v>1604.2005</v>
      </c>
      <c r="L242" t="str">
        <f t="shared" si="5"/>
        <v>8.912225</v>
      </c>
      <c r="M242" t="str">
        <f t="shared" si="6"/>
        <v>401</v>
      </c>
      <c r="N242" t="s">
        <v>182</v>
      </c>
      <c r="O242" t="s">
        <v>542</v>
      </c>
      <c r="P242" t="s">
        <v>543</v>
      </c>
    </row>
    <row r="243" ht="15.75" customHeight="1">
      <c r="A243">
        <v>242.0</v>
      </c>
      <c r="B243">
        <v>50.0</v>
      </c>
      <c r="C243">
        <v>108.0</v>
      </c>
      <c r="D243">
        <v>3.0</v>
      </c>
      <c r="E243" t="str">
        <f t="shared" si="1"/>
        <v>3.125</v>
      </c>
      <c r="F243">
        <v>7.0</v>
      </c>
      <c r="G243">
        <v>3.0</v>
      </c>
      <c r="H243" t="str">
        <f t="shared" si="2"/>
        <v>21</v>
      </c>
      <c r="I243">
        <v>105.0</v>
      </c>
      <c r="J243" t="str">
        <f t="shared" si="3"/>
        <v>333.375</v>
      </c>
      <c r="K243" t="str">
        <f t="shared" si="4"/>
        <v>1293.495</v>
      </c>
      <c r="L243" t="str">
        <f t="shared" si="5"/>
        <v>6.1595</v>
      </c>
      <c r="M243" t="str">
        <f t="shared" si="6"/>
        <v>388</v>
      </c>
      <c r="N243" t="s">
        <v>182</v>
      </c>
      <c r="O243" t="s">
        <v>544</v>
      </c>
    </row>
    <row r="244" ht="15.75" customHeight="1">
      <c r="A244">
        <v>243.0</v>
      </c>
      <c r="B244">
        <v>22.0</v>
      </c>
      <c r="C244">
        <v>33.0</v>
      </c>
      <c r="D244">
        <v>3.0</v>
      </c>
      <c r="E244" t="str">
        <f t="shared" si="1"/>
        <v>2.983333333</v>
      </c>
      <c r="F244">
        <v>6.0</v>
      </c>
      <c r="G244">
        <v>9.0</v>
      </c>
      <c r="H244" t="str">
        <f t="shared" si="2"/>
        <v>54</v>
      </c>
      <c r="I244">
        <v>102.0</v>
      </c>
      <c r="J244" t="str">
        <f t="shared" si="3"/>
        <v>323.85</v>
      </c>
      <c r="K244" t="str">
        <f t="shared" si="4"/>
        <v>540.8295</v>
      </c>
      <c r="L244" t="str">
        <f t="shared" si="5"/>
        <v>1.001536111</v>
      </c>
      <c r="M244" t="str">
        <f t="shared" si="6"/>
        <v>167</v>
      </c>
      <c r="N244" t="s">
        <v>182</v>
      </c>
      <c r="O244" t="s">
        <v>545</v>
      </c>
    </row>
    <row r="245" ht="15.75" customHeight="1">
      <c r="A245">
        <v>244.0</v>
      </c>
      <c r="B245">
        <v>55.0</v>
      </c>
      <c r="C245">
        <v>50.0</v>
      </c>
      <c r="D245">
        <v>4.0</v>
      </c>
      <c r="E245" t="str">
        <f t="shared" si="1"/>
        <v>3.578125</v>
      </c>
      <c r="F245">
        <v>6.0</v>
      </c>
      <c r="G245">
        <v>8.0</v>
      </c>
      <c r="H245" t="str">
        <f t="shared" si="2"/>
        <v>48</v>
      </c>
      <c r="I245">
        <v>135.0</v>
      </c>
      <c r="J245" t="str">
        <f t="shared" si="3"/>
        <v>428.625</v>
      </c>
      <c r="K245" t="str">
        <f t="shared" si="4"/>
        <v>1590.19875</v>
      </c>
      <c r="L245" t="str">
        <f t="shared" si="5"/>
        <v>3.312914063</v>
      </c>
      <c r="M245" t="str">
        <f t="shared" si="6"/>
        <v>371</v>
      </c>
      <c r="N245" t="s">
        <v>182</v>
      </c>
      <c r="O245" t="s">
        <v>546</v>
      </c>
      <c r="P245" t="s">
        <v>547</v>
      </c>
    </row>
    <row r="246" ht="15.75" customHeight="1">
      <c r="A246">
        <v>245.0</v>
      </c>
      <c r="B246">
        <v>70.0</v>
      </c>
      <c r="C246">
        <v>70.0</v>
      </c>
      <c r="D246">
        <v>3.0</v>
      </c>
      <c r="E246" t="str">
        <f t="shared" si="1"/>
        <v>6.2</v>
      </c>
      <c r="F246">
        <v>4.0</v>
      </c>
      <c r="G246">
        <v>5.0</v>
      </c>
      <c r="H246" t="str">
        <f t="shared" si="2"/>
        <v>20</v>
      </c>
      <c r="I246">
        <v>120.0</v>
      </c>
      <c r="J246" t="str">
        <f t="shared" si="3"/>
        <v>381</v>
      </c>
      <c r="K246" t="str">
        <f t="shared" si="4"/>
        <v>1177.29</v>
      </c>
      <c r="L246" t="str">
        <f t="shared" si="5"/>
        <v>5.88645</v>
      </c>
      <c r="M246" t="str">
        <f t="shared" si="6"/>
        <v>309</v>
      </c>
      <c r="N246" t="s">
        <v>182</v>
      </c>
      <c r="O246" t="s">
        <v>548</v>
      </c>
    </row>
    <row r="247" ht="15.75" customHeight="1">
      <c r="A247">
        <v>247.0</v>
      </c>
      <c r="B247">
        <v>70.0</v>
      </c>
      <c r="C247">
        <v>168.0</v>
      </c>
      <c r="D247">
        <v>3.0</v>
      </c>
      <c r="E247" t="str">
        <f t="shared" si="1"/>
        <v>3.45</v>
      </c>
      <c r="F247">
        <v>5.0</v>
      </c>
      <c r="G247">
        <v>2.0</v>
      </c>
      <c r="H247" t="str">
        <f t="shared" si="2"/>
        <v>10</v>
      </c>
      <c r="I247">
        <v>108.0</v>
      </c>
      <c r="J247" t="str">
        <f t="shared" si="3"/>
        <v>342.9</v>
      </c>
      <c r="K247" t="str">
        <f t="shared" si="4"/>
        <v>1309.878</v>
      </c>
      <c r="L247" t="str">
        <f t="shared" si="5"/>
        <v>13.09878</v>
      </c>
      <c r="M247" t="str">
        <f t="shared" si="6"/>
        <v>382</v>
      </c>
      <c r="N247" t="s">
        <v>182</v>
      </c>
      <c r="O247" t="s">
        <v>549</v>
      </c>
      <c r="P247" t="s">
        <v>550</v>
      </c>
    </row>
    <row r="248" ht="15.75" customHeight="1">
      <c r="A248">
        <v>248.0</v>
      </c>
      <c r="B248">
        <v>125.0</v>
      </c>
      <c r="C248">
        <v>149.0</v>
      </c>
      <c r="D248">
        <v>3.0</v>
      </c>
      <c r="E248" t="str">
        <f t="shared" si="1"/>
        <v>3.4</v>
      </c>
      <c r="F248">
        <v>2.0</v>
      </c>
      <c r="G248">
        <v>2.0</v>
      </c>
      <c r="H248" t="str">
        <f t="shared" si="2"/>
        <v>4</v>
      </c>
      <c r="I248">
        <v>96.0</v>
      </c>
      <c r="J248" t="str">
        <f t="shared" si="3"/>
        <v>304.8</v>
      </c>
      <c r="K248" t="str">
        <f t="shared" si="4"/>
        <v>832.104</v>
      </c>
      <c r="L248" t="str">
        <f t="shared" si="5"/>
        <v>20.8026</v>
      </c>
      <c r="M248" t="str">
        <f t="shared" si="6"/>
        <v>273</v>
      </c>
      <c r="N248" t="s">
        <v>182</v>
      </c>
      <c r="O248" t="s">
        <v>551</v>
      </c>
    </row>
    <row r="249" ht="15.75" customHeight="1">
      <c r="A249">
        <v>249.0</v>
      </c>
      <c r="B249">
        <v>25.0</v>
      </c>
      <c r="C249">
        <v>100.0</v>
      </c>
      <c r="D249">
        <v>3.0</v>
      </c>
      <c r="E249" t="str">
        <f t="shared" si="1"/>
        <v>3.716666667</v>
      </c>
      <c r="F249">
        <v>13.0</v>
      </c>
      <c r="G249">
        <v>3.0</v>
      </c>
      <c r="H249" t="str">
        <f t="shared" si="2"/>
        <v>39</v>
      </c>
      <c r="I249">
        <v>98.0</v>
      </c>
      <c r="J249" t="str">
        <f t="shared" si="3"/>
        <v>311.15</v>
      </c>
      <c r="K249" t="str">
        <f t="shared" si="4"/>
        <v>1185.4815</v>
      </c>
      <c r="L249" t="str">
        <f t="shared" si="5"/>
        <v>3.039696154</v>
      </c>
      <c r="M249" t="str">
        <f t="shared" si="6"/>
        <v>381</v>
      </c>
      <c r="N249" t="s">
        <v>182</v>
      </c>
      <c r="O249" t="s">
        <v>552</v>
      </c>
    </row>
    <row r="250" ht="15.75" customHeight="1">
      <c r="A250">
        <v>250.0</v>
      </c>
      <c r="B250">
        <v>28.0</v>
      </c>
      <c r="C250">
        <v>258.0</v>
      </c>
      <c r="D250">
        <v>4.0</v>
      </c>
      <c r="E250" t="str">
        <f t="shared" si="1"/>
        <v>21.4</v>
      </c>
      <c r="F250">
        <v>10.0</v>
      </c>
      <c r="G250">
        <v>2.0</v>
      </c>
      <c r="H250" t="str">
        <f t="shared" si="2"/>
        <v>20</v>
      </c>
      <c r="I250">
        <v>176.0</v>
      </c>
      <c r="J250" t="str">
        <f t="shared" si="3"/>
        <v>558.8</v>
      </c>
      <c r="K250" t="str">
        <f t="shared" si="4"/>
        <v>1883.156</v>
      </c>
      <c r="L250" t="str">
        <f t="shared" si="5"/>
        <v>9.41578</v>
      </c>
      <c r="M250" t="str">
        <f t="shared" si="6"/>
        <v>337</v>
      </c>
      <c r="N250" t="s">
        <v>187</v>
      </c>
      <c r="O250" t="s">
        <v>553</v>
      </c>
      <c r="P250" t="s">
        <v>445</v>
      </c>
    </row>
    <row r="251" ht="15.75" customHeight="1">
      <c r="A251">
        <v>251.0</v>
      </c>
      <c r="B251">
        <v>75.6</v>
      </c>
      <c r="C251">
        <v>74.7</v>
      </c>
      <c r="D251">
        <v>3.0</v>
      </c>
      <c r="E251" t="str">
        <f t="shared" si="1"/>
        <v>3.0875</v>
      </c>
      <c r="F251">
        <v>5.0</v>
      </c>
      <c r="G251">
        <v>4.0</v>
      </c>
      <c r="H251" t="str">
        <f t="shared" si="2"/>
        <v>20</v>
      </c>
      <c r="I251">
        <v>98.0</v>
      </c>
      <c r="J251" t="str">
        <f t="shared" si="3"/>
        <v>311.15</v>
      </c>
      <c r="K251" t="str">
        <f t="shared" si="4"/>
        <v>1275.715</v>
      </c>
      <c r="L251" t="str">
        <f t="shared" si="5"/>
        <v>6.378575</v>
      </c>
      <c r="M251" t="str">
        <f t="shared" si="6"/>
        <v>410</v>
      </c>
      <c r="N251" t="s">
        <v>187</v>
      </c>
      <c r="O251" t="s">
        <v>554</v>
      </c>
      <c r="P251" t="s">
        <v>555</v>
      </c>
    </row>
    <row r="252" ht="15.75" customHeight="1">
      <c r="A252">
        <v>252.0</v>
      </c>
      <c r="B252">
        <v>185.0</v>
      </c>
      <c r="C252">
        <v>60.0</v>
      </c>
      <c r="D252">
        <v>3.0</v>
      </c>
      <c r="E252" t="str">
        <f t="shared" si="1"/>
        <v>3.5</v>
      </c>
      <c r="F252">
        <v>2.0</v>
      </c>
      <c r="G252">
        <v>6.0</v>
      </c>
      <c r="H252" t="str">
        <f t="shared" si="2"/>
        <v>12</v>
      </c>
      <c r="I252">
        <v>120.0</v>
      </c>
      <c r="J252" t="str">
        <f t="shared" si="3"/>
        <v>381</v>
      </c>
      <c r="K252" t="str">
        <f t="shared" si="4"/>
        <v>1497.33</v>
      </c>
      <c r="L252" t="str">
        <f t="shared" si="5"/>
        <v>12.47775</v>
      </c>
      <c r="M252" t="str">
        <f t="shared" si="6"/>
        <v>393</v>
      </c>
      <c r="N252" t="s">
        <v>187</v>
      </c>
      <c r="O252" t="s">
        <v>556</v>
      </c>
      <c r="P252" t="s">
        <v>557</v>
      </c>
    </row>
    <row r="253" ht="15.75" customHeight="1">
      <c r="A253">
        <v>253.0</v>
      </c>
      <c r="B253">
        <v>137.0</v>
      </c>
      <c r="C253">
        <v>264.0</v>
      </c>
      <c r="D253">
        <v>4.0</v>
      </c>
      <c r="E253" t="str">
        <f t="shared" si="1"/>
        <v>15.4</v>
      </c>
      <c r="F253">
        <v>2.0</v>
      </c>
      <c r="G253">
        <v>2.0</v>
      </c>
      <c r="H253" t="str">
        <f t="shared" si="2"/>
        <v>4</v>
      </c>
      <c r="I253">
        <v>176.0</v>
      </c>
      <c r="J253" t="str">
        <f t="shared" si="3"/>
        <v>558.8</v>
      </c>
      <c r="K253" t="str">
        <f t="shared" si="4"/>
        <v>1670.812</v>
      </c>
      <c r="L253" t="str">
        <f t="shared" si="5"/>
        <v>41.7703</v>
      </c>
      <c r="M253" t="str">
        <f t="shared" si="6"/>
        <v>299</v>
      </c>
      <c r="N253" t="s">
        <v>182</v>
      </c>
      <c r="O253" t="s">
        <v>558</v>
      </c>
    </row>
    <row r="254" ht="15.75" customHeight="1">
      <c r="A254">
        <v>254.0</v>
      </c>
      <c r="B254">
        <v>139.0</v>
      </c>
      <c r="C254">
        <v>120.0</v>
      </c>
      <c r="D254">
        <v>6.0</v>
      </c>
      <c r="E254" t="str">
        <f t="shared" si="1"/>
        <v>7</v>
      </c>
      <c r="F254">
        <v>2.0</v>
      </c>
      <c r="G254">
        <v>3.0</v>
      </c>
      <c r="H254" t="str">
        <f t="shared" si="2"/>
        <v>6</v>
      </c>
      <c r="I254">
        <v>120.0</v>
      </c>
      <c r="J254" t="str">
        <f t="shared" si="3"/>
        <v>381</v>
      </c>
      <c r="K254" t="str">
        <f t="shared" si="4"/>
        <v>1169.67</v>
      </c>
      <c r="L254" t="str">
        <f t="shared" si="5"/>
        <v>19.4945</v>
      </c>
      <c r="M254" t="str">
        <f t="shared" si="6"/>
        <v>307</v>
      </c>
      <c r="N254" t="s">
        <v>182</v>
      </c>
      <c r="O254" t="s">
        <v>559</v>
      </c>
      <c r="P254" t="s">
        <v>560</v>
      </c>
    </row>
    <row r="255" ht="15.75" customHeight="1">
      <c r="A255">
        <v>255.0</v>
      </c>
      <c r="B255">
        <v>184.0</v>
      </c>
      <c r="C255">
        <v>68.0</v>
      </c>
      <c r="D255">
        <v>3.0</v>
      </c>
      <c r="E255" t="str">
        <f t="shared" si="1"/>
        <v>3.4375</v>
      </c>
      <c r="F255">
        <v>2.0</v>
      </c>
      <c r="G255">
        <v>6.0</v>
      </c>
      <c r="H255" t="str">
        <f t="shared" si="2"/>
        <v>12</v>
      </c>
      <c r="I255">
        <v>135.0</v>
      </c>
      <c r="J255" t="str">
        <f t="shared" si="3"/>
        <v>428.625</v>
      </c>
      <c r="K255" t="str">
        <f t="shared" si="4"/>
        <v>1675.92375</v>
      </c>
      <c r="L255" t="str">
        <f t="shared" si="5"/>
        <v>13.96603125</v>
      </c>
      <c r="M255" t="str">
        <f t="shared" si="6"/>
        <v>391</v>
      </c>
      <c r="N255" t="s">
        <v>187</v>
      </c>
      <c r="O255" t="s">
        <v>561</v>
      </c>
      <c r="P255" t="s">
        <v>562</v>
      </c>
    </row>
    <row r="256" ht="15.75" customHeight="1">
      <c r="A256">
        <v>256.0</v>
      </c>
      <c r="B256">
        <v>80.0</v>
      </c>
      <c r="C256">
        <v>100.0</v>
      </c>
      <c r="D256">
        <v>3.0</v>
      </c>
      <c r="E256" t="str">
        <f t="shared" si="1"/>
        <v>7.15625</v>
      </c>
      <c r="F256">
        <v>5.0</v>
      </c>
      <c r="G256">
        <v>4.0</v>
      </c>
      <c r="H256" t="str">
        <f t="shared" si="2"/>
        <v>20</v>
      </c>
      <c r="I256">
        <v>135.0</v>
      </c>
      <c r="J256" t="str">
        <f t="shared" si="3"/>
        <v>428.625</v>
      </c>
      <c r="K256" t="str">
        <f t="shared" si="4"/>
        <v>1851.66</v>
      </c>
      <c r="L256" t="str">
        <f t="shared" si="5"/>
        <v>9.2583</v>
      </c>
      <c r="M256" t="str">
        <f t="shared" si="6"/>
        <v>432</v>
      </c>
      <c r="N256" t="s">
        <v>182</v>
      </c>
      <c r="O256" t="s">
        <v>563</v>
      </c>
    </row>
    <row r="257" ht="15.75" customHeight="1">
      <c r="A257">
        <v>257.0</v>
      </c>
      <c r="B257">
        <v>75.0</v>
      </c>
      <c r="C257">
        <v>239.0</v>
      </c>
      <c r="D257">
        <v>3.0</v>
      </c>
      <c r="E257" t="str">
        <f t="shared" si="1"/>
        <v>3.8875</v>
      </c>
      <c r="F257">
        <v>5.0</v>
      </c>
      <c r="G257">
        <v>2.0</v>
      </c>
      <c r="H257" t="str">
        <f t="shared" si="2"/>
        <v>10</v>
      </c>
      <c r="I257">
        <v>153.0</v>
      </c>
      <c r="J257" t="str">
        <f t="shared" si="3"/>
        <v>485.775</v>
      </c>
      <c r="K257" t="str">
        <f t="shared" si="4"/>
        <v>1977.10425</v>
      </c>
      <c r="L257" t="str">
        <f t="shared" si="5"/>
        <v>19.7710425</v>
      </c>
      <c r="M257" t="str">
        <f t="shared" si="6"/>
        <v>407</v>
      </c>
      <c r="N257" t="s">
        <v>182</v>
      </c>
      <c r="O257" t="s">
        <v>563</v>
      </c>
    </row>
    <row r="258" ht="15.75" customHeight="1">
      <c r="A258">
        <v>258.0</v>
      </c>
      <c r="B258">
        <v>20.0</v>
      </c>
      <c r="C258">
        <v>75.0</v>
      </c>
      <c r="D258">
        <v>3.0</v>
      </c>
      <c r="E258" t="str">
        <f t="shared" si="1"/>
        <v>2.7875</v>
      </c>
      <c r="F258">
        <v>8.0</v>
      </c>
      <c r="G258">
        <v>4.0</v>
      </c>
      <c r="H258" t="str">
        <f t="shared" si="2"/>
        <v>32</v>
      </c>
      <c r="I258">
        <v>98.0</v>
      </c>
      <c r="J258" t="str">
        <f t="shared" si="3"/>
        <v>311.15</v>
      </c>
      <c r="K258" t="str">
        <f t="shared" si="4"/>
        <v>625.4115</v>
      </c>
      <c r="L258" t="str">
        <f t="shared" si="5"/>
        <v>1.954410938</v>
      </c>
      <c r="M258" t="str">
        <f t="shared" si="6"/>
        <v>201</v>
      </c>
      <c r="N258" t="s">
        <v>182</v>
      </c>
      <c r="O258" t="s">
        <v>564</v>
      </c>
    </row>
    <row r="259" ht="15.75" customHeight="1">
      <c r="A259">
        <v>259.0</v>
      </c>
      <c r="B259">
        <v>145.0</v>
      </c>
      <c r="C259">
        <v>54.0</v>
      </c>
      <c r="D259">
        <v>3.0</v>
      </c>
      <c r="E259" t="str">
        <f t="shared" si="1"/>
        <v>3.15</v>
      </c>
      <c r="F259">
        <v>2.0</v>
      </c>
      <c r="G259">
        <v>6.0</v>
      </c>
      <c r="H259" t="str">
        <f t="shared" si="2"/>
        <v>12</v>
      </c>
      <c r="I259">
        <v>108.0</v>
      </c>
      <c r="J259" t="str">
        <f t="shared" si="3"/>
        <v>342.9</v>
      </c>
      <c r="K259" t="str">
        <f t="shared" si="4"/>
        <v>1073.277</v>
      </c>
      <c r="L259" t="str">
        <f t="shared" si="5"/>
        <v>8.943975</v>
      </c>
      <c r="M259" t="str">
        <f t="shared" si="6"/>
        <v>313</v>
      </c>
      <c r="N259" t="s">
        <v>187</v>
      </c>
      <c r="O259" t="s">
        <v>565</v>
      </c>
      <c r="P259" t="s">
        <v>566</v>
      </c>
    </row>
    <row r="260" ht="15.75" customHeight="1">
      <c r="A260">
        <v>260.0</v>
      </c>
      <c r="B260">
        <v>120.0</v>
      </c>
      <c r="C260">
        <v>140.0</v>
      </c>
      <c r="D260">
        <v>3.0</v>
      </c>
      <c r="E260" t="str">
        <f t="shared" si="1"/>
        <v>2.875</v>
      </c>
      <c r="F260">
        <v>2.0</v>
      </c>
      <c r="G260">
        <v>3.0</v>
      </c>
      <c r="H260" t="str">
        <f t="shared" si="2"/>
        <v>6</v>
      </c>
      <c r="I260">
        <v>135.0</v>
      </c>
      <c r="J260" t="str">
        <f t="shared" si="3"/>
        <v>428.625</v>
      </c>
      <c r="K260" t="str">
        <f t="shared" si="4"/>
        <v>1127.28375</v>
      </c>
      <c r="L260" t="str">
        <f t="shared" si="5"/>
        <v>18.7880625</v>
      </c>
      <c r="M260" t="str">
        <f t="shared" si="6"/>
        <v>263</v>
      </c>
      <c r="N260" t="s">
        <v>182</v>
      </c>
      <c r="O260" t="s">
        <v>567</v>
      </c>
    </row>
    <row r="261" ht="15.75" customHeight="1">
      <c r="A261">
        <v>261.0</v>
      </c>
      <c r="B261">
        <v>102.0</v>
      </c>
      <c r="C261">
        <v>35.7</v>
      </c>
      <c r="D261">
        <v>3.0</v>
      </c>
      <c r="E261" t="str">
        <f t="shared" si="1"/>
        <v>3.19375</v>
      </c>
      <c r="F261">
        <v>3.0</v>
      </c>
      <c r="G261">
        <v>8.0</v>
      </c>
      <c r="H261" t="str">
        <f t="shared" si="2"/>
        <v>24</v>
      </c>
      <c r="I261">
        <v>98.0</v>
      </c>
      <c r="J261" t="str">
        <f t="shared" si="3"/>
        <v>311.15</v>
      </c>
      <c r="K261" t="str">
        <f t="shared" si="4"/>
        <v>1033.018</v>
      </c>
      <c r="L261" t="str">
        <f t="shared" si="5"/>
        <v>4.304241667</v>
      </c>
      <c r="M261" t="str">
        <f t="shared" si="6"/>
        <v>332</v>
      </c>
      <c r="N261" t="s">
        <v>182</v>
      </c>
      <c r="O261" t="s">
        <v>568</v>
      </c>
    </row>
    <row r="262" ht="15.75" customHeight="1">
      <c r="A262">
        <v>262.0</v>
      </c>
      <c r="B262">
        <v>51.0</v>
      </c>
      <c r="C262">
        <v>35.7</v>
      </c>
      <c r="D262">
        <v>3.0</v>
      </c>
      <c r="E262" t="str">
        <f t="shared" si="1"/>
        <v>3.19375</v>
      </c>
      <c r="F262">
        <v>6.0</v>
      </c>
      <c r="G262">
        <v>8.0</v>
      </c>
      <c r="H262" t="str">
        <f t="shared" si="2"/>
        <v>48</v>
      </c>
      <c r="I262">
        <v>98.0</v>
      </c>
      <c r="J262" t="str">
        <f t="shared" si="3"/>
        <v>311.15</v>
      </c>
      <c r="K262" t="str">
        <f t="shared" si="4"/>
        <v>1061.0215</v>
      </c>
      <c r="L262" t="str">
        <f t="shared" si="5"/>
        <v>2.210461458</v>
      </c>
      <c r="M262" t="str">
        <f t="shared" si="6"/>
        <v>341</v>
      </c>
      <c r="N262" t="s">
        <v>182</v>
      </c>
      <c r="O262" t="s">
        <v>569</v>
      </c>
    </row>
    <row r="263" ht="15.75" customHeight="1">
      <c r="A263">
        <v>263.0</v>
      </c>
      <c r="B263">
        <v>50.0</v>
      </c>
      <c r="C263">
        <v>25.0</v>
      </c>
      <c r="D263">
        <v>3.0</v>
      </c>
      <c r="E263" t="str">
        <f t="shared" si="1"/>
        <v>2.709090909</v>
      </c>
      <c r="F263">
        <v>4.0</v>
      </c>
      <c r="G263">
        <v>11.0</v>
      </c>
      <c r="H263" t="str">
        <f t="shared" si="2"/>
        <v>44</v>
      </c>
      <c r="I263">
        <v>96.0</v>
      </c>
      <c r="J263" t="str">
        <f t="shared" si="3"/>
        <v>304.8</v>
      </c>
      <c r="K263" t="str">
        <f t="shared" si="4"/>
        <v>697.992</v>
      </c>
      <c r="L263" t="str">
        <f t="shared" si="5"/>
        <v>1.586345455</v>
      </c>
      <c r="M263" t="str">
        <f t="shared" si="6"/>
        <v>229</v>
      </c>
      <c r="N263" t="s">
        <v>182</v>
      </c>
      <c r="O263" t="s">
        <v>570</v>
      </c>
      <c r="P263" t="s">
        <v>571</v>
      </c>
    </row>
    <row r="264" ht="15.75" customHeight="1">
      <c r="A264">
        <v>264.0</v>
      </c>
      <c r="B264">
        <v>38.0</v>
      </c>
      <c r="C264">
        <v>25.0</v>
      </c>
      <c r="D264">
        <v>3.0</v>
      </c>
      <c r="E264" t="str">
        <f t="shared" si="1"/>
        <v>2.709090909</v>
      </c>
      <c r="F264">
        <v>6.0</v>
      </c>
      <c r="G264">
        <v>11.0</v>
      </c>
      <c r="H264" t="str">
        <f t="shared" si="2"/>
        <v>66</v>
      </c>
      <c r="I264">
        <v>96.0</v>
      </c>
      <c r="J264" t="str">
        <f t="shared" si="3"/>
        <v>304.8</v>
      </c>
      <c r="K264" t="str">
        <f t="shared" si="4"/>
        <v>801.624</v>
      </c>
      <c r="L264" t="str">
        <f t="shared" si="5"/>
        <v>1.214581818</v>
      </c>
      <c r="M264" t="str">
        <f t="shared" si="6"/>
        <v>263</v>
      </c>
      <c r="N264" t="s">
        <v>182</v>
      </c>
      <c r="O264" t="s">
        <v>572</v>
      </c>
      <c r="P264" t="s">
        <v>573</v>
      </c>
    </row>
    <row r="265" ht="15.75" customHeight="1">
      <c r="A265">
        <v>265.0</v>
      </c>
      <c r="B265">
        <v>55.0</v>
      </c>
      <c r="C265">
        <v>95.0</v>
      </c>
      <c r="D265">
        <v>3.0</v>
      </c>
      <c r="E265" t="str">
        <f t="shared" si="1"/>
        <v>5.0125</v>
      </c>
      <c r="F265">
        <v>6.0</v>
      </c>
      <c r="G265">
        <v>4.0</v>
      </c>
      <c r="H265" t="str">
        <f t="shared" si="2"/>
        <v>24</v>
      </c>
      <c r="I265">
        <v>126.0</v>
      </c>
      <c r="J265" t="str">
        <f t="shared" si="3"/>
        <v>400.05</v>
      </c>
      <c r="K265" t="str">
        <f t="shared" si="4"/>
        <v>1460.1825</v>
      </c>
      <c r="L265" t="str">
        <f t="shared" si="5"/>
        <v>6.08409375</v>
      </c>
      <c r="M265" t="str">
        <f t="shared" si="6"/>
        <v>365</v>
      </c>
      <c r="N265" t="s">
        <v>182</v>
      </c>
      <c r="O265" t="s">
        <v>574</v>
      </c>
    </row>
    <row r="266" ht="15.75" customHeight="1">
      <c r="A266">
        <v>266.0</v>
      </c>
      <c r="B266">
        <v>90.0</v>
      </c>
      <c r="C266">
        <v>183.0</v>
      </c>
      <c r="D266">
        <v>3.0</v>
      </c>
      <c r="E266" t="str">
        <f t="shared" si="1"/>
        <v>3.266666667</v>
      </c>
      <c r="F266">
        <v>4.0</v>
      </c>
      <c r="G266">
        <v>3.0</v>
      </c>
      <c r="H266" t="str">
        <f t="shared" si="2"/>
        <v>12</v>
      </c>
      <c r="I266">
        <v>176.0</v>
      </c>
      <c r="J266" t="str">
        <f t="shared" si="3"/>
        <v>558.8</v>
      </c>
      <c r="K266" t="str">
        <f t="shared" si="4"/>
        <v>2173.732</v>
      </c>
      <c r="L266" t="str">
        <f t="shared" si="5"/>
        <v>18.11443333</v>
      </c>
      <c r="M266" t="str">
        <f t="shared" si="6"/>
        <v>389</v>
      </c>
      <c r="N266" t="s">
        <v>182</v>
      </c>
      <c r="O266" t="s">
        <v>575</v>
      </c>
    </row>
    <row r="267" ht="15.75" customHeight="1">
      <c r="A267">
        <v>267.0</v>
      </c>
      <c r="B267">
        <v>117.0</v>
      </c>
      <c r="C267">
        <v>64.0</v>
      </c>
      <c r="D267">
        <v>3.0</v>
      </c>
      <c r="E267" t="str">
        <f t="shared" si="1"/>
        <v>2.675</v>
      </c>
      <c r="F267">
        <v>2.0</v>
      </c>
      <c r="G267">
        <v>5.0</v>
      </c>
      <c r="H267" t="str">
        <f t="shared" si="2"/>
        <v>10</v>
      </c>
      <c r="I267">
        <v>105.0</v>
      </c>
      <c r="J267" t="str">
        <f t="shared" si="3"/>
        <v>333.375</v>
      </c>
      <c r="K267" t="str">
        <f t="shared" si="4"/>
        <v>856.77375</v>
      </c>
      <c r="L267" t="str">
        <f t="shared" si="5"/>
        <v>8.5677375</v>
      </c>
      <c r="M267" t="str">
        <f t="shared" si="6"/>
        <v>257</v>
      </c>
      <c r="N267" t="s">
        <v>187</v>
      </c>
      <c r="O267" t="s">
        <v>576</v>
      </c>
      <c r="P267" t="s">
        <v>577</v>
      </c>
    </row>
    <row r="268" ht="15.75" customHeight="1">
      <c r="A268">
        <v>269.0</v>
      </c>
      <c r="B268">
        <v>37.0</v>
      </c>
      <c r="C268">
        <v>124.0</v>
      </c>
      <c r="D268">
        <v>3.0</v>
      </c>
      <c r="E268" t="str">
        <f t="shared" si="1"/>
        <v>3</v>
      </c>
      <c r="F268">
        <v>10.0</v>
      </c>
      <c r="G268">
        <v>3.0</v>
      </c>
      <c r="H268" t="str">
        <f t="shared" si="2"/>
        <v>30</v>
      </c>
      <c r="I268">
        <v>120.0</v>
      </c>
      <c r="J268" t="str">
        <f t="shared" si="3"/>
        <v>381</v>
      </c>
      <c r="K268" t="str">
        <f t="shared" si="4"/>
        <v>1588.77</v>
      </c>
      <c r="L268" t="str">
        <f t="shared" si="5"/>
        <v>5.2959</v>
      </c>
      <c r="M268" t="str">
        <f t="shared" si="6"/>
        <v>417</v>
      </c>
      <c r="N268" t="s">
        <v>182</v>
      </c>
      <c r="O268" t="s">
        <v>578</v>
      </c>
    </row>
    <row r="269" ht="15.75" customHeight="1">
      <c r="A269">
        <v>270.0</v>
      </c>
      <c r="B269">
        <v>139.0</v>
      </c>
      <c r="C269">
        <v>32.0</v>
      </c>
      <c r="D269">
        <v>3.0</v>
      </c>
      <c r="E269" t="str">
        <f t="shared" si="1"/>
        <v>2.572222222</v>
      </c>
      <c r="F269">
        <v>2.0</v>
      </c>
      <c r="G269">
        <v>9.0</v>
      </c>
      <c r="H269" t="str">
        <f t="shared" si="2"/>
        <v>18</v>
      </c>
      <c r="I269">
        <v>98.0</v>
      </c>
      <c r="J269" t="str">
        <f t="shared" si="3"/>
        <v>311.15</v>
      </c>
      <c r="K269" t="str">
        <f t="shared" si="4"/>
        <v>936.5615</v>
      </c>
      <c r="L269" t="str">
        <f t="shared" si="5"/>
        <v>5.203119444</v>
      </c>
      <c r="M269" t="str">
        <f t="shared" si="6"/>
        <v>301</v>
      </c>
      <c r="N269" t="s">
        <v>182</v>
      </c>
      <c r="O269" t="s">
        <v>579</v>
      </c>
      <c r="P269" t="s">
        <v>580</v>
      </c>
    </row>
    <row r="270" ht="15.75" customHeight="1">
      <c r="A270">
        <v>271.0</v>
      </c>
      <c r="B270">
        <v>170.0</v>
      </c>
      <c r="C270">
        <v>40.0</v>
      </c>
      <c r="D270">
        <v>3.0</v>
      </c>
      <c r="E270" t="str">
        <f t="shared" si="1"/>
        <v>2.8625</v>
      </c>
      <c r="F270">
        <v>2.0</v>
      </c>
      <c r="G270">
        <v>8.0</v>
      </c>
      <c r="H270" t="str">
        <f t="shared" si="2"/>
        <v>16</v>
      </c>
      <c r="I270">
        <v>108.0</v>
      </c>
      <c r="J270" t="str">
        <f t="shared" si="3"/>
        <v>342.9</v>
      </c>
      <c r="K270" t="str">
        <f t="shared" si="4"/>
        <v>1244.727</v>
      </c>
      <c r="L270" t="str">
        <f t="shared" si="5"/>
        <v>7.77954375</v>
      </c>
      <c r="M270" t="str">
        <f t="shared" si="6"/>
        <v>363</v>
      </c>
      <c r="N270" t="s">
        <v>182</v>
      </c>
      <c r="O270" t="s">
        <v>581</v>
      </c>
      <c r="P270" t="s">
        <v>580</v>
      </c>
    </row>
    <row r="271" ht="15.75" customHeight="1">
      <c r="A271">
        <v>272.0</v>
      </c>
      <c r="B271">
        <v>32.0</v>
      </c>
      <c r="C271">
        <v>78.0</v>
      </c>
      <c r="D271">
        <v>3.0</v>
      </c>
      <c r="E271" t="str">
        <f t="shared" si="1"/>
        <v>2.9625</v>
      </c>
      <c r="F271">
        <v>6.0</v>
      </c>
      <c r="G271">
        <v>4.0</v>
      </c>
      <c r="H271" t="str">
        <f t="shared" si="2"/>
        <v>24</v>
      </c>
      <c r="I271">
        <v>102.0</v>
      </c>
      <c r="J271" t="str">
        <f t="shared" si="3"/>
        <v>323.85</v>
      </c>
      <c r="K271" t="str">
        <f t="shared" si="4"/>
        <v>735.1395</v>
      </c>
      <c r="L271" t="str">
        <f t="shared" si="5"/>
        <v>3.06308125</v>
      </c>
      <c r="M271" t="str">
        <f t="shared" si="6"/>
        <v>227</v>
      </c>
      <c r="N271" t="s">
        <v>182</v>
      </c>
      <c r="O271" t="s">
        <v>582</v>
      </c>
      <c r="P271" t="s">
        <v>583</v>
      </c>
    </row>
    <row r="272" ht="15.75" customHeight="1">
      <c r="A272">
        <v>273.0</v>
      </c>
      <c r="B272">
        <v>56.0</v>
      </c>
      <c r="C272">
        <v>23.0</v>
      </c>
      <c r="D272">
        <v>3.0</v>
      </c>
      <c r="E272" t="str">
        <f t="shared" si="1"/>
        <v>2.929166667</v>
      </c>
      <c r="F272">
        <v>7.0</v>
      </c>
      <c r="G272">
        <v>12.0</v>
      </c>
      <c r="H272" t="str">
        <f t="shared" si="2"/>
        <v>84</v>
      </c>
      <c r="I272">
        <v>98.0</v>
      </c>
      <c r="J272" t="str">
        <f t="shared" si="3"/>
        <v>311.15</v>
      </c>
      <c r="K272" t="str">
        <f t="shared" si="4"/>
        <v>1337.945</v>
      </c>
      <c r="L272" t="str">
        <f t="shared" si="5"/>
        <v>1.592791667</v>
      </c>
      <c r="M272" t="str">
        <f t="shared" si="6"/>
        <v>430</v>
      </c>
      <c r="N272" t="s">
        <v>182</v>
      </c>
      <c r="O272" t="s">
        <v>584</v>
      </c>
      <c r="P272" t="s">
        <v>585</v>
      </c>
    </row>
    <row r="273" ht="15.75" customHeight="1">
      <c r="A273">
        <v>274.0</v>
      </c>
      <c r="B273">
        <v>111.0</v>
      </c>
      <c r="C273">
        <v>85.0</v>
      </c>
      <c r="D273">
        <v>4.0</v>
      </c>
      <c r="E273" t="str">
        <f t="shared" si="1"/>
        <v>5.805</v>
      </c>
      <c r="F273">
        <v>3.0</v>
      </c>
      <c r="G273">
        <v>5.0</v>
      </c>
      <c r="H273" t="str">
        <f t="shared" si="2"/>
        <v>15</v>
      </c>
      <c r="I273">
        <v>143.0</v>
      </c>
      <c r="J273" t="str">
        <f t="shared" si="3"/>
        <v>454.025</v>
      </c>
      <c r="K273" t="str">
        <f t="shared" si="4"/>
        <v>1643.5705</v>
      </c>
      <c r="L273" t="str">
        <f t="shared" si="5"/>
        <v>10.95713667</v>
      </c>
      <c r="M273" t="str">
        <f t="shared" si="6"/>
        <v>362</v>
      </c>
      <c r="N273" t="s">
        <v>182</v>
      </c>
      <c r="O273" t="s">
        <v>586</v>
      </c>
      <c r="P273" t="s">
        <v>587</v>
      </c>
    </row>
    <row r="274" ht="15.75" customHeight="1">
      <c r="A274">
        <v>275.0</v>
      </c>
      <c r="B274">
        <v>111.0</v>
      </c>
      <c r="C274">
        <v>85.0</v>
      </c>
      <c r="D274">
        <v>4.0</v>
      </c>
      <c r="E274" t="str">
        <f t="shared" si="1"/>
        <v>5.805</v>
      </c>
      <c r="F274">
        <v>3.0</v>
      </c>
      <c r="G274">
        <v>5.0</v>
      </c>
      <c r="H274" t="str">
        <f t="shared" si="2"/>
        <v>15</v>
      </c>
      <c r="I274">
        <v>143.0</v>
      </c>
      <c r="J274" t="str">
        <f t="shared" si="3"/>
        <v>454.025</v>
      </c>
      <c r="K274" t="str">
        <f t="shared" si="4"/>
        <v>1643.5705</v>
      </c>
      <c r="L274" t="str">
        <f t="shared" si="5"/>
        <v>10.95713667</v>
      </c>
      <c r="M274" t="str">
        <f t="shared" si="6"/>
        <v>362</v>
      </c>
      <c r="N274" t="s">
        <v>182</v>
      </c>
      <c r="O274" t="s">
        <v>588</v>
      </c>
      <c r="P274" t="s">
        <v>589</v>
      </c>
    </row>
    <row r="275" ht="15.75" customHeight="1">
      <c r="A275">
        <v>276.0</v>
      </c>
      <c r="B275">
        <v>140.0</v>
      </c>
      <c r="C275">
        <v>68.0</v>
      </c>
      <c r="D275">
        <v>4.0</v>
      </c>
      <c r="E275" t="str">
        <f t="shared" si="1"/>
        <v>3.4375</v>
      </c>
      <c r="F275">
        <v>2.0</v>
      </c>
      <c r="G275">
        <v>6.0</v>
      </c>
      <c r="H275" t="str">
        <f t="shared" si="2"/>
        <v>12</v>
      </c>
      <c r="I275">
        <v>135.0</v>
      </c>
      <c r="J275" t="str">
        <f t="shared" si="3"/>
        <v>428.625</v>
      </c>
      <c r="K275" t="str">
        <f t="shared" si="4"/>
        <v>1307.30625</v>
      </c>
      <c r="L275" t="str">
        <f t="shared" si="5"/>
        <v>10.89421875</v>
      </c>
      <c r="M275" t="str">
        <f t="shared" si="6"/>
        <v>305</v>
      </c>
      <c r="N275" t="s">
        <v>187</v>
      </c>
      <c r="O275" t="s">
        <v>590</v>
      </c>
      <c r="P275" t="s">
        <v>591</v>
      </c>
    </row>
    <row r="276" ht="15.75" customHeight="1">
      <c r="A276">
        <v>277.0</v>
      </c>
      <c r="B276">
        <v>200.0</v>
      </c>
      <c r="C276">
        <v>129.0</v>
      </c>
      <c r="D276">
        <v>5.0</v>
      </c>
      <c r="E276" t="str">
        <f t="shared" si="1"/>
        <v>4.35</v>
      </c>
      <c r="F276">
        <v>2.0</v>
      </c>
      <c r="G276">
        <v>3.0</v>
      </c>
      <c r="H276" t="str">
        <f t="shared" si="2"/>
        <v>6</v>
      </c>
      <c r="I276">
        <v>126.0</v>
      </c>
      <c r="J276" t="str">
        <f t="shared" si="3"/>
        <v>400.05</v>
      </c>
      <c r="K276" t="str">
        <f t="shared" si="4"/>
        <v>1708.2135</v>
      </c>
      <c r="L276" t="str">
        <f t="shared" si="5"/>
        <v>28.470225</v>
      </c>
      <c r="M276" t="str">
        <f t="shared" si="6"/>
        <v>427</v>
      </c>
      <c r="N276" t="s">
        <v>187</v>
      </c>
      <c r="O276" t="s">
        <v>592</v>
      </c>
      <c r="P276" t="s">
        <v>593</v>
      </c>
    </row>
    <row r="277" ht="15.75" customHeight="1">
      <c r="A277">
        <v>278.0</v>
      </c>
      <c r="B277">
        <v>35.0</v>
      </c>
      <c r="C277">
        <v>90.0</v>
      </c>
      <c r="D277">
        <v>3.0</v>
      </c>
      <c r="E277" t="str">
        <f t="shared" si="1"/>
        <v>3.133333333</v>
      </c>
      <c r="F277">
        <v>7.0</v>
      </c>
      <c r="G277">
        <v>6.0</v>
      </c>
      <c r="H277" t="str">
        <f t="shared" si="2"/>
        <v>42</v>
      </c>
      <c r="I277">
        <v>176.0</v>
      </c>
      <c r="J277" t="str">
        <f t="shared" si="3"/>
        <v>558.8</v>
      </c>
      <c r="K277" t="str">
        <f t="shared" si="4"/>
        <v>1581.404</v>
      </c>
      <c r="L277" t="str">
        <f t="shared" si="5"/>
        <v>3.765247619</v>
      </c>
      <c r="M277" t="str">
        <f t="shared" si="6"/>
        <v>283</v>
      </c>
      <c r="N277" t="s">
        <v>182</v>
      </c>
      <c r="O277" t="s">
        <v>594</v>
      </c>
    </row>
    <row r="278" ht="15.75" customHeight="1">
      <c r="A278">
        <v>279.0</v>
      </c>
      <c r="B278">
        <v>72.0</v>
      </c>
      <c r="C278">
        <v>73.5</v>
      </c>
      <c r="D278">
        <v>4.0</v>
      </c>
      <c r="E278" t="str">
        <f t="shared" si="1"/>
        <v>2.7</v>
      </c>
      <c r="F278">
        <v>4.0</v>
      </c>
      <c r="G278">
        <v>4.0</v>
      </c>
      <c r="H278" t="str">
        <f t="shared" si="2"/>
        <v>16</v>
      </c>
      <c r="I278">
        <v>96.0</v>
      </c>
      <c r="J278" t="str">
        <f t="shared" si="3"/>
        <v>304.8</v>
      </c>
      <c r="K278" t="str">
        <f t="shared" si="4"/>
        <v>978.408</v>
      </c>
      <c r="L278" t="str">
        <f t="shared" si="5"/>
        <v>6.11505</v>
      </c>
      <c r="M278" t="str">
        <f t="shared" si="6"/>
        <v>321</v>
      </c>
      <c r="N278" t="s">
        <v>187</v>
      </c>
      <c r="O278" t="s">
        <v>595</v>
      </c>
      <c r="P278" t="s">
        <v>596</v>
      </c>
    </row>
    <row r="279" ht="15.75" customHeight="1">
      <c r="A279">
        <v>280.0</v>
      </c>
      <c r="B279">
        <v>90.0</v>
      </c>
      <c r="C279">
        <v>250.0</v>
      </c>
      <c r="D279">
        <v>3.0</v>
      </c>
      <c r="E279" t="str">
        <f t="shared" si="1"/>
        <v>29.4</v>
      </c>
      <c r="F279">
        <v>4.0</v>
      </c>
      <c r="G279">
        <v>2.0</v>
      </c>
      <c r="H279" t="str">
        <f t="shared" si="2"/>
        <v>8</v>
      </c>
      <c r="I279">
        <v>176.0</v>
      </c>
      <c r="J279" t="str">
        <f t="shared" si="3"/>
        <v>558.8</v>
      </c>
      <c r="K279" t="str">
        <f t="shared" si="4"/>
        <v>2173.732</v>
      </c>
      <c r="L279" t="str">
        <f t="shared" si="5"/>
        <v>27.17165</v>
      </c>
      <c r="M279" t="str">
        <f t="shared" si="6"/>
        <v>389</v>
      </c>
      <c r="N279" t="s">
        <v>182</v>
      </c>
      <c r="O279" t="s">
        <v>597</v>
      </c>
    </row>
    <row r="280" ht="15.75" customHeight="1">
      <c r="A280">
        <v>281.0</v>
      </c>
      <c r="B280">
        <v>55.0</v>
      </c>
      <c r="C280">
        <v>117.0</v>
      </c>
      <c r="D280">
        <v>3.0</v>
      </c>
      <c r="E280" t="str">
        <f t="shared" si="1"/>
        <v>4.44375</v>
      </c>
      <c r="F280">
        <v>7.0</v>
      </c>
      <c r="G280">
        <v>4.0</v>
      </c>
      <c r="H280" t="str">
        <f t="shared" si="2"/>
        <v>28</v>
      </c>
      <c r="I280">
        <v>153.0</v>
      </c>
      <c r="J280" t="str">
        <f t="shared" si="3"/>
        <v>485.775</v>
      </c>
      <c r="K280" t="str">
        <f t="shared" si="4"/>
        <v>2054.82825</v>
      </c>
      <c r="L280" t="str">
        <f t="shared" si="5"/>
        <v>7.338672321</v>
      </c>
      <c r="M280" t="str">
        <f t="shared" si="6"/>
        <v>423</v>
      </c>
      <c r="N280" t="s">
        <v>182</v>
      </c>
      <c r="O280" t="s">
        <v>598</v>
      </c>
    </row>
    <row r="281" ht="15.75" customHeight="1">
      <c r="A281">
        <v>282.0</v>
      </c>
      <c r="B281">
        <v>38.0</v>
      </c>
      <c r="C281">
        <v>168.0</v>
      </c>
      <c r="D281">
        <v>3.0</v>
      </c>
      <c r="E281" t="str">
        <f t="shared" si="1"/>
        <v>3.45</v>
      </c>
      <c r="F281">
        <v>9.0</v>
      </c>
      <c r="G281">
        <v>2.0</v>
      </c>
      <c r="H281" t="str">
        <f t="shared" si="2"/>
        <v>18</v>
      </c>
      <c r="I281">
        <v>108.0</v>
      </c>
      <c r="J281" t="str">
        <f t="shared" si="3"/>
        <v>342.9</v>
      </c>
      <c r="K281" t="str">
        <f t="shared" si="4"/>
        <v>1323.594</v>
      </c>
      <c r="L281" t="str">
        <f t="shared" si="5"/>
        <v>7.3533</v>
      </c>
      <c r="M281" t="str">
        <f t="shared" si="6"/>
        <v>386</v>
      </c>
      <c r="N281" t="s">
        <v>182</v>
      </c>
      <c r="O281" t="s">
        <v>599</v>
      </c>
    </row>
    <row r="282" ht="15.75" customHeight="1">
      <c r="A282">
        <v>283.0</v>
      </c>
      <c r="B282">
        <v>177.0</v>
      </c>
      <c r="C282">
        <v>82.0</v>
      </c>
      <c r="D282">
        <v>4.0</v>
      </c>
      <c r="E282" t="str">
        <f t="shared" si="1"/>
        <v>3.725</v>
      </c>
      <c r="F282">
        <v>2.0</v>
      </c>
      <c r="G282">
        <v>4.0</v>
      </c>
      <c r="H282" t="str">
        <f t="shared" si="2"/>
        <v>8</v>
      </c>
      <c r="I282">
        <v>108.0</v>
      </c>
      <c r="J282" t="str">
        <f t="shared" si="3"/>
        <v>342.9</v>
      </c>
      <c r="K282" t="str">
        <f t="shared" si="4"/>
        <v>1299.591</v>
      </c>
      <c r="L282" t="str">
        <f t="shared" si="5"/>
        <v>16.2448875</v>
      </c>
      <c r="M282" t="str">
        <f t="shared" si="6"/>
        <v>379</v>
      </c>
      <c r="N282" t="s">
        <v>182</v>
      </c>
      <c r="O282" t="s">
        <v>600</v>
      </c>
      <c r="P282" t="s">
        <v>601</v>
      </c>
    </row>
    <row r="283" ht="15.75" customHeight="1">
      <c r="A283">
        <v>284.0</v>
      </c>
      <c r="B283">
        <v>169.0</v>
      </c>
      <c r="C283">
        <v>88.7</v>
      </c>
      <c r="D283">
        <v>5.0</v>
      </c>
      <c r="E283" t="str">
        <f t="shared" si="1"/>
        <v>4.433333333</v>
      </c>
      <c r="F283">
        <v>2.0</v>
      </c>
      <c r="G283">
        <v>6.0</v>
      </c>
      <c r="H283" t="str">
        <f t="shared" si="2"/>
        <v>12</v>
      </c>
      <c r="I283">
        <v>176.0</v>
      </c>
      <c r="J283" t="str">
        <f t="shared" si="3"/>
        <v>558.8</v>
      </c>
      <c r="K283" t="str">
        <f t="shared" si="4"/>
        <v>2039.62</v>
      </c>
      <c r="L283" t="str">
        <f t="shared" si="5"/>
        <v>16.99683333</v>
      </c>
      <c r="M283" t="str">
        <f t="shared" si="6"/>
        <v>365</v>
      </c>
      <c r="N283" t="s">
        <v>182</v>
      </c>
      <c r="O283" t="s">
        <v>602</v>
      </c>
      <c r="P283" t="s">
        <v>603</v>
      </c>
    </row>
    <row r="284" ht="15.75" customHeight="1">
      <c r="A284">
        <v>285.0</v>
      </c>
      <c r="B284">
        <v>50.0</v>
      </c>
      <c r="C284">
        <v>130.0</v>
      </c>
      <c r="D284">
        <v>3.0</v>
      </c>
      <c r="E284" t="str">
        <f t="shared" si="1"/>
        <v>3.35</v>
      </c>
      <c r="F284">
        <v>7.0</v>
      </c>
      <c r="G284">
        <v>3.0</v>
      </c>
      <c r="H284" t="str">
        <f t="shared" si="2"/>
        <v>21</v>
      </c>
      <c r="I284">
        <v>126.0</v>
      </c>
      <c r="J284" t="str">
        <f t="shared" si="3"/>
        <v>400.05</v>
      </c>
      <c r="K284" t="str">
        <f t="shared" si="4"/>
        <v>1552.194</v>
      </c>
      <c r="L284" t="str">
        <f t="shared" si="5"/>
        <v>7.3914</v>
      </c>
      <c r="M284" t="str">
        <f t="shared" si="6"/>
        <v>388</v>
      </c>
      <c r="N284" t="s">
        <v>182</v>
      </c>
      <c r="O284" t="s">
        <v>604</v>
      </c>
    </row>
    <row r="285" ht="15.75" customHeight="1">
      <c r="A285">
        <v>286.0</v>
      </c>
      <c r="B285">
        <v>85.0</v>
      </c>
      <c r="C285">
        <v>187.0</v>
      </c>
      <c r="D285">
        <v>3.0</v>
      </c>
      <c r="E285" t="str">
        <f t="shared" si="1"/>
        <v>3.5</v>
      </c>
      <c r="F285">
        <v>4.0</v>
      </c>
      <c r="G285">
        <v>2.0</v>
      </c>
      <c r="H285" t="str">
        <f t="shared" si="2"/>
        <v>8</v>
      </c>
      <c r="I285">
        <v>120.0</v>
      </c>
      <c r="J285" t="str">
        <f t="shared" si="3"/>
        <v>381</v>
      </c>
      <c r="K285" t="str">
        <f t="shared" si="4"/>
        <v>1405.89</v>
      </c>
      <c r="L285" t="str">
        <f t="shared" si="5"/>
        <v>17.573625</v>
      </c>
      <c r="M285" t="str">
        <f t="shared" si="6"/>
        <v>369</v>
      </c>
      <c r="N285" t="s">
        <v>182</v>
      </c>
      <c r="O285" t="s">
        <v>605</v>
      </c>
    </row>
    <row r="286" ht="15.75" customHeight="1">
      <c r="A286">
        <v>287.0</v>
      </c>
      <c r="B286">
        <v>49.0</v>
      </c>
      <c r="C286">
        <v>42.0</v>
      </c>
      <c r="D286">
        <v>3.0</v>
      </c>
      <c r="E286" t="str">
        <f t="shared" si="1"/>
        <v>3.4025</v>
      </c>
      <c r="F286">
        <v>7.0</v>
      </c>
      <c r="G286">
        <v>10.0</v>
      </c>
      <c r="H286" t="str">
        <f t="shared" si="2"/>
        <v>70</v>
      </c>
      <c r="I286">
        <v>143.0</v>
      </c>
      <c r="J286" t="str">
        <f t="shared" si="3"/>
        <v>454.025</v>
      </c>
      <c r="K286" t="str">
        <f t="shared" si="4"/>
        <v>1729.83525</v>
      </c>
      <c r="L286" t="str">
        <f t="shared" si="5"/>
        <v>2.471193214</v>
      </c>
      <c r="M286" t="str">
        <f t="shared" si="6"/>
        <v>381</v>
      </c>
      <c r="N286" t="s">
        <v>182</v>
      </c>
      <c r="O286" t="s">
        <v>606</v>
      </c>
    </row>
    <row r="287" ht="15.75" customHeight="1">
      <c r="A287">
        <v>288.0</v>
      </c>
      <c r="B287">
        <v>100.0</v>
      </c>
      <c r="C287">
        <v>42.0</v>
      </c>
      <c r="D287">
        <v>3.0</v>
      </c>
      <c r="E287" t="str">
        <f t="shared" si="1"/>
        <v>3.4025</v>
      </c>
      <c r="F287">
        <v>3.0</v>
      </c>
      <c r="G287">
        <v>10.0</v>
      </c>
      <c r="H287" t="str">
        <f t="shared" si="2"/>
        <v>30</v>
      </c>
      <c r="I287">
        <v>143.0</v>
      </c>
      <c r="J287" t="str">
        <f t="shared" si="3"/>
        <v>454.025</v>
      </c>
      <c r="K287" t="str">
        <f t="shared" si="4"/>
        <v>1480.1215</v>
      </c>
      <c r="L287" t="str">
        <f t="shared" si="5"/>
        <v>4.933738333</v>
      </c>
      <c r="M287" t="str">
        <f t="shared" si="6"/>
        <v>326</v>
      </c>
      <c r="N287" t="s">
        <v>182</v>
      </c>
      <c r="O287" t="s">
        <v>607</v>
      </c>
    </row>
    <row r="288" ht="15.75" customHeight="1">
      <c r="A288">
        <v>289.0</v>
      </c>
      <c r="B288">
        <v>35.0</v>
      </c>
      <c r="C288">
        <v>40.0</v>
      </c>
      <c r="D288">
        <v>3.0</v>
      </c>
      <c r="E288" t="str">
        <f t="shared" si="1"/>
        <v>2.8625</v>
      </c>
      <c r="F288">
        <v>10.0</v>
      </c>
      <c r="G288">
        <v>8.0</v>
      </c>
      <c r="H288" t="str">
        <f t="shared" si="2"/>
        <v>80</v>
      </c>
      <c r="I288">
        <v>108.0</v>
      </c>
      <c r="J288" t="str">
        <f t="shared" si="3"/>
        <v>342.9</v>
      </c>
      <c r="K288" t="str">
        <f t="shared" si="4"/>
        <v>1361.313</v>
      </c>
      <c r="L288" t="str">
        <f t="shared" si="5"/>
        <v>1.70164125</v>
      </c>
      <c r="M288" t="str">
        <f t="shared" si="6"/>
        <v>397</v>
      </c>
      <c r="N288" t="s">
        <v>182</v>
      </c>
      <c r="O288" t="s">
        <v>608</v>
      </c>
    </row>
    <row r="289" ht="15.75" customHeight="1">
      <c r="A289">
        <v>290.0</v>
      </c>
      <c r="B289">
        <v>75.0</v>
      </c>
      <c r="C289">
        <v>40.0</v>
      </c>
      <c r="D289">
        <v>3.0</v>
      </c>
      <c r="E289" t="str">
        <f t="shared" si="1"/>
        <v>2.8625</v>
      </c>
      <c r="F289">
        <v>4.0</v>
      </c>
      <c r="G289">
        <v>8.0</v>
      </c>
      <c r="H289" t="str">
        <f t="shared" si="2"/>
        <v>32</v>
      </c>
      <c r="I289">
        <v>108.0</v>
      </c>
      <c r="J289" t="str">
        <f t="shared" si="3"/>
        <v>342.9</v>
      </c>
      <c r="K289" t="str">
        <f t="shared" si="4"/>
        <v>1128.141</v>
      </c>
      <c r="L289" t="str">
        <f t="shared" si="5"/>
        <v>3.525440625</v>
      </c>
      <c r="M289" t="str">
        <f t="shared" si="6"/>
        <v>329</v>
      </c>
      <c r="N289" t="s">
        <v>182</v>
      </c>
      <c r="O289" t="s">
        <v>609</v>
      </c>
    </row>
    <row r="290" ht="15.75" customHeight="1">
      <c r="A290">
        <v>291.0</v>
      </c>
      <c r="B290">
        <v>67.5</v>
      </c>
      <c r="C290">
        <v>61.3</v>
      </c>
      <c r="D290">
        <v>3.0</v>
      </c>
      <c r="E290" t="str">
        <f t="shared" si="1"/>
        <v>3.47</v>
      </c>
      <c r="F290">
        <v>5.0</v>
      </c>
      <c r="G290">
        <v>5.0</v>
      </c>
      <c r="H290" t="str">
        <f t="shared" si="2"/>
        <v>25</v>
      </c>
      <c r="I290">
        <v>102.0</v>
      </c>
      <c r="J290" t="str">
        <f t="shared" si="3"/>
        <v>323.85</v>
      </c>
      <c r="K290" t="str">
        <f t="shared" si="4"/>
        <v>1196.62575</v>
      </c>
      <c r="L290" t="str">
        <f t="shared" si="5"/>
        <v>4.786503</v>
      </c>
      <c r="M290" t="str">
        <f t="shared" si="6"/>
        <v>369.5</v>
      </c>
      <c r="N290" t="s">
        <v>182</v>
      </c>
      <c r="O290" t="s">
        <v>610</v>
      </c>
    </row>
    <row r="291" ht="15.75" customHeight="1">
      <c r="A291">
        <v>292.0</v>
      </c>
      <c r="B291">
        <v>156.0</v>
      </c>
      <c r="C291">
        <v>61.3</v>
      </c>
      <c r="D291">
        <v>3.0</v>
      </c>
      <c r="E291" t="str">
        <f t="shared" si="1"/>
        <v>3.47</v>
      </c>
      <c r="F291">
        <v>2.0</v>
      </c>
      <c r="G291">
        <v>5.0</v>
      </c>
      <c r="H291" t="str">
        <f t="shared" si="2"/>
        <v>10</v>
      </c>
      <c r="I291">
        <v>102.0</v>
      </c>
      <c r="J291" t="str">
        <f t="shared" si="3"/>
        <v>323.85</v>
      </c>
      <c r="K291" t="str">
        <f t="shared" si="4"/>
        <v>1084.8975</v>
      </c>
      <c r="L291" t="str">
        <f t="shared" si="5"/>
        <v>10.848975</v>
      </c>
      <c r="M291" t="str">
        <f t="shared" si="6"/>
        <v>335</v>
      </c>
      <c r="N291" t="s">
        <v>182</v>
      </c>
      <c r="O291" t="s">
        <v>611</v>
      </c>
    </row>
    <row r="292" ht="15.75" customHeight="1">
      <c r="A292">
        <v>293.0</v>
      </c>
      <c r="B292">
        <v>40.0</v>
      </c>
      <c r="C292">
        <v>330.0</v>
      </c>
      <c r="D292">
        <v>3.0</v>
      </c>
      <c r="E292" t="str">
        <f t="shared" si="1"/>
        <v>3.375</v>
      </c>
      <c r="F292">
        <v>8.0</v>
      </c>
      <c r="G292">
        <v>1.0</v>
      </c>
      <c r="H292" t="str">
        <f t="shared" si="2"/>
        <v>8</v>
      </c>
      <c r="I292">
        <v>105.0</v>
      </c>
      <c r="J292" t="str">
        <f t="shared" si="3"/>
        <v>333.375</v>
      </c>
      <c r="K292" t="str">
        <f t="shared" si="4"/>
        <v>1203.48375</v>
      </c>
      <c r="L292" t="str">
        <f t="shared" si="5"/>
        <v>15.04354688</v>
      </c>
      <c r="M292" t="str">
        <f t="shared" si="6"/>
        <v>361</v>
      </c>
      <c r="N292" t="s">
        <v>187</v>
      </c>
      <c r="O292" t="s">
        <v>612</v>
      </c>
    </row>
    <row r="293" ht="15.75" customHeight="1">
      <c r="A293">
        <v>294.0</v>
      </c>
      <c r="B293">
        <v>22.0</v>
      </c>
      <c r="C293">
        <v>22.0</v>
      </c>
      <c r="D293">
        <v>3.0</v>
      </c>
      <c r="E293" t="str">
        <f t="shared" si="1"/>
        <v>3.4</v>
      </c>
      <c r="F293">
        <v>11.0</v>
      </c>
      <c r="G293">
        <v>12.0</v>
      </c>
      <c r="H293" t="str">
        <f t="shared" si="2"/>
        <v>132</v>
      </c>
      <c r="I293">
        <v>96.0</v>
      </c>
      <c r="J293" t="str">
        <f t="shared" si="3"/>
        <v>304.8</v>
      </c>
      <c r="K293" t="str">
        <f t="shared" si="4"/>
        <v>890.016</v>
      </c>
      <c r="L293" t="str">
        <f t="shared" si="5"/>
        <v>0.6742545455</v>
      </c>
      <c r="M293" t="str">
        <f t="shared" si="6"/>
        <v>292</v>
      </c>
      <c r="N293" t="s">
        <v>187</v>
      </c>
      <c r="O293" t="s">
        <v>613</v>
      </c>
    </row>
    <row r="294" ht="15.75" customHeight="1">
      <c r="A294">
        <v>295.0</v>
      </c>
      <c r="B294">
        <v>63.0</v>
      </c>
      <c r="C294">
        <v>80.0</v>
      </c>
      <c r="D294">
        <v>3.0</v>
      </c>
      <c r="E294" t="str">
        <f t="shared" si="1"/>
        <v>3.34375</v>
      </c>
      <c r="F294">
        <v>6.0</v>
      </c>
      <c r="G294">
        <v>4.0</v>
      </c>
      <c r="H294" t="str">
        <f t="shared" si="2"/>
        <v>24</v>
      </c>
      <c r="I294">
        <v>105.0</v>
      </c>
      <c r="J294" t="str">
        <f t="shared" si="3"/>
        <v>333.375</v>
      </c>
      <c r="K294" t="str">
        <f t="shared" si="4"/>
        <v>1376.83875</v>
      </c>
      <c r="L294" t="str">
        <f t="shared" si="5"/>
        <v>5.736828125</v>
      </c>
      <c r="M294" t="str">
        <f t="shared" si="6"/>
        <v>413</v>
      </c>
      <c r="N294" t="s">
        <v>187</v>
      </c>
      <c r="O294" t="s">
        <v>614</v>
      </c>
      <c r="P294" t="s">
        <v>615</v>
      </c>
    </row>
    <row r="295" ht="15.75" customHeight="1">
      <c r="A295">
        <v>296.0</v>
      </c>
      <c r="B295">
        <v>22.0</v>
      </c>
      <c r="C295">
        <v>81.0</v>
      </c>
      <c r="D295">
        <v>3.0</v>
      </c>
      <c r="E295" t="str">
        <f t="shared" si="1"/>
        <v>4.725</v>
      </c>
      <c r="F295">
        <v>11.0</v>
      </c>
      <c r="G295">
        <v>5.0</v>
      </c>
      <c r="H295" t="str">
        <f t="shared" si="2"/>
        <v>55</v>
      </c>
      <c r="I295">
        <v>135.0</v>
      </c>
      <c r="J295" t="str">
        <f t="shared" si="3"/>
        <v>428.625</v>
      </c>
      <c r="K295" t="str">
        <f t="shared" si="4"/>
        <v>1251.585</v>
      </c>
      <c r="L295" t="str">
        <f t="shared" si="5"/>
        <v>2.275609091</v>
      </c>
      <c r="M295" t="str">
        <f t="shared" si="6"/>
        <v>292</v>
      </c>
      <c r="N295" t="s">
        <v>182</v>
      </c>
      <c r="O295" t="s">
        <v>616</v>
      </c>
    </row>
    <row r="296" ht="15.75" customHeight="1">
      <c r="A296">
        <v>297.0</v>
      </c>
      <c r="B296">
        <v>63.0</v>
      </c>
      <c r="C296">
        <v>168.0</v>
      </c>
      <c r="D296">
        <v>3.0</v>
      </c>
      <c r="E296" t="str">
        <f t="shared" si="1"/>
        <v>3.45</v>
      </c>
      <c r="F296">
        <v>6.0</v>
      </c>
      <c r="G296">
        <v>2.0</v>
      </c>
      <c r="H296" t="str">
        <f t="shared" si="2"/>
        <v>12</v>
      </c>
      <c r="I296">
        <v>108.0</v>
      </c>
      <c r="J296" t="str">
        <f t="shared" si="3"/>
        <v>342.9</v>
      </c>
      <c r="K296" t="str">
        <f t="shared" si="4"/>
        <v>1416.177</v>
      </c>
      <c r="L296" t="str">
        <f t="shared" si="5"/>
        <v>11.801475</v>
      </c>
      <c r="M296" t="str">
        <f t="shared" si="6"/>
        <v>413</v>
      </c>
      <c r="N296" t="s">
        <v>182</v>
      </c>
      <c r="O296" t="s">
        <v>617</v>
      </c>
    </row>
    <row r="297" ht="15.75" customHeight="1">
      <c r="A297">
        <v>298.0</v>
      </c>
      <c r="B297">
        <v>45.0</v>
      </c>
      <c r="C297">
        <v>140.0</v>
      </c>
      <c r="D297">
        <v>3.0</v>
      </c>
      <c r="E297" t="str">
        <f t="shared" si="1"/>
        <v>2.875</v>
      </c>
      <c r="F297">
        <v>8.0</v>
      </c>
      <c r="G297">
        <v>3.0</v>
      </c>
      <c r="H297" t="str">
        <f t="shared" si="2"/>
        <v>24</v>
      </c>
      <c r="I297">
        <v>135.0</v>
      </c>
      <c r="J297" t="str">
        <f t="shared" si="3"/>
        <v>428.625</v>
      </c>
      <c r="K297" t="str">
        <f t="shared" si="4"/>
        <v>1718.78625</v>
      </c>
      <c r="L297" t="str">
        <f t="shared" si="5"/>
        <v>7.161609375</v>
      </c>
      <c r="M297" t="str">
        <f t="shared" si="6"/>
        <v>401</v>
      </c>
      <c r="N297" t="s">
        <v>182</v>
      </c>
      <c r="O297" t="s">
        <v>618</v>
      </c>
      <c r="P297" t="s">
        <v>619</v>
      </c>
    </row>
    <row r="298" ht="15.75" customHeight="1">
      <c r="A298">
        <v>299.0</v>
      </c>
      <c r="B298">
        <v>45.0</v>
      </c>
      <c r="C298">
        <v>110.0</v>
      </c>
      <c r="D298">
        <v>3.0</v>
      </c>
      <c r="E298" t="str">
        <f t="shared" si="1"/>
        <v>3.50625</v>
      </c>
      <c r="F298">
        <v>8.0</v>
      </c>
      <c r="G298">
        <v>4.0</v>
      </c>
      <c r="H298" t="str">
        <f t="shared" si="2"/>
        <v>32</v>
      </c>
      <c r="I298">
        <v>143.0</v>
      </c>
      <c r="J298" t="str">
        <f t="shared" si="3"/>
        <v>454.025</v>
      </c>
      <c r="K298" t="str">
        <f t="shared" si="4"/>
        <v>1820.64025</v>
      </c>
      <c r="L298" t="str">
        <f t="shared" si="5"/>
        <v>5.689500781</v>
      </c>
      <c r="M298" t="str">
        <f t="shared" si="6"/>
        <v>401</v>
      </c>
      <c r="N298" t="s">
        <v>182</v>
      </c>
      <c r="O298" t="s">
        <v>620</v>
      </c>
    </row>
    <row r="299" ht="15.75" customHeight="1">
      <c r="A299">
        <v>300.0</v>
      </c>
      <c r="B299">
        <v>55.0</v>
      </c>
      <c r="C299">
        <v>482.0</v>
      </c>
      <c r="D299">
        <v>3.0</v>
      </c>
      <c r="E299" t="str">
        <f t="shared" si="1"/>
        <v>3.775</v>
      </c>
      <c r="F299">
        <v>7.0</v>
      </c>
      <c r="G299">
        <v>1.0</v>
      </c>
      <c r="H299" t="str">
        <f t="shared" si="2"/>
        <v>7</v>
      </c>
      <c r="I299">
        <v>153.0</v>
      </c>
      <c r="J299" t="str">
        <f t="shared" si="3"/>
        <v>485.775</v>
      </c>
      <c r="K299" t="str">
        <f t="shared" si="4"/>
        <v>2054.82825</v>
      </c>
      <c r="L299" t="str">
        <f t="shared" si="5"/>
        <v>29.35468929</v>
      </c>
      <c r="M299" t="str">
        <f t="shared" si="6"/>
        <v>423</v>
      </c>
      <c r="N299" t="s">
        <v>182</v>
      </c>
      <c r="O299" t="s">
        <v>621</v>
      </c>
    </row>
    <row r="300" ht="15.75" customHeight="1">
      <c r="A300">
        <v>301.0</v>
      </c>
      <c r="B300">
        <v>60.0</v>
      </c>
      <c r="C300">
        <v>140.0</v>
      </c>
      <c r="D300">
        <v>3.0</v>
      </c>
      <c r="E300" t="str">
        <f t="shared" si="1"/>
        <v>2.875</v>
      </c>
      <c r="F300">
        <v>6.0</v>
      </c>
      <c r="G300">
        <v>3.0</v>
      </c>
      <c r="H300" t="str">
        <f t="shared" si="2"/>
        <v>18</v>
      </c>
      <c r="I300">
        <v>135.0</v>
      </c>
      <c r="J300" t="str">
        <f t="shared" si="3"/>
        <v>428.625</v>
      </c>
      <c r="K300" t="str">
        <f t="shared" si="4"/>
        <v>1693.06875</v>
      </c>
      <c r="L300" t="str">
        <f t="shared" si="5"/>
        <v>9.4059375</v>
      </c>
      <c r="M300" t="str">
        <f t="shared" si="6"/>
        <v>395</v>
      </c>
      <c r="N300" t="s">
        <v>182</v>
      </c>
      <c r="O300" t="s">
        <v>622</v>
      </c>
    </row>
    <row r="301" ht="15.75" customHeight="1">
      <c r="A301">
        <v>302.0</v>
      </c>
      <c r="B301">
        <v>125.0</v>
      </c>
      <c r="C301">
        <v>108.0</v>
      </c>
      <c r="D301">
        <v>5.0</v>
      </c>
      <c r="E301" t="str">
        <f t="shared" si="1"/>
        <v>3.125</v>
      </c>
      <c r="F301">
        <v>2.0</v>
      </c>
      <c r="G301">
        <v>3.0</v>
      </c>
      <c r="H301" t="str">
        <f t="shared" si="2"/>
        <v>6</v>
      </c>
      <c r="I301">
        <v>105.0</v>
      </c>
      <c r="J301" t="str">
        <f t="shared" si="3"/>
        <v>333.375</v>
      </c>
      <c r="K301" t="str">
        <f t="shared" si="4"/>
        <v>923.44875</v>
      </c>
      <c r="L301" t="str">
        <f t="shared" si="5"/>
        <v>15.3908125</v>
      </c>
      <c r="M301" t="str">
        <f t="shared" si="6"/>
        <v>277</v>
      </c>
      <c r="N301" t="s">
        <v>187</v>
      </c>
      <c r="O301" t="s">
        <v>623</v>
      </c>
      <c r="P301" t="s">
        <v>624</v>
      </c>
    </row>
    <row r="302" ht="15.75" customHeight="1">
      <c r="A302">
        <v>303.0</v>
      </c>
      <c r="B302">
        <v>122.0</v>
      </c>
      <c r="C302">
        <v>114.0</v>
      </c>
      <c r="D302">
        <v>5.0</v>
      </c>
      <c r="E302" t="str">
        <f t="shared" si="1"/>
        <v>7.44375</v>
      </c>
      <c r="F302">
        <v>2.0</v>
      </c>
      <c r="G302">
        <v>4.0</v>
      </c>
      <c r="H302" t="str">
        <f t="shared" si="2"/>
        <v>8</v>
      </c>
      <c r="I302">
        <v>153.0</v>
      </c>
      <c r="J302" t="str">
        <f t="shared" si="3"/>
        <v>485.775</v>
      </c>
      <c r="K302" t="str">
        <f t="shared" si="4"/>
        <v>1316.45025</v>
      </c>
      <c r="L302" t="str">
        <f t="shared" si="5"/>
        <v>16.45562813</v>
      </c>
      <c r="M302" t="str">
        <f t="shared" si="6"/>
        <v>271</v>
      </c>
      <c r="N302" t="s">
        <v>187</v>
      </c>
      <c r="O302" t="s">
        <v>625</v>
      </c>
      <c r="P302" t="s">
        <v>624</v>
      </c>
    </row>
    <row r="303" ht="15.75" customHeight="1">
      <c r="A303">
        <v>304.0</v>
      </c>
      <c r="B303">
        <v>137.0</v>
      </c>
      <c r="C303">
        <v>112.0</v>
      </c>
      <c r="D303">
        <v>5.0</v>
      </c>
      <c r="E303" t="str">
        <f t="shared" si="1"/>
        <v>9.44375</v>
      </c>
      <c r="F303">
        <v>2.0</v>
      </c>
      <c r="G303">
        <v>4.0</v>
      </c>
      <c r="H303" t="str">
        <f t="shared" si="2"/>
        <v>8</v>
      </c>
      <c r="I303">
        <v>153.0</v>
      </c>
      <c r="J303" t="str">
        <f t="shared" si="3"/>
        <v>485.775</v>
      </c>
      <c r="K303" t="str">
        <f t="shared" si="4"/>
        <v>1462.18275</v>
      </c>
      <c r="L303" t="str">
        <f t="shared" si="5"/>
        <v>18.27728438</v>
      </c>
      <c r="M303" t="str">
        <f t="shared" si="6"/>
        <v>301</v>
      </c>
      <c r="N303" t="s">
        <v>187</v>
      </c>
      <c r="O303" t="s">
        <v>626</v>
      </c>
      <c r="P303" t="s">
        <v>627</v>
      </c>
    </row>
    <row r="304" ht="15.75" customHeight="1">
      <c r="A304">
        <v>305.0</v>
      </c>
      <c r="B304">
        <v>60.0</v>
      </c>
      <c r="C304">
        <v>320.0</v>
      </c>
      <c r="D304">
        <v>4.0</v>
      </c>
      <c r="E304" t="str">
        <f t="shared" si="1"/>
        <v>3.85</v>
      </c>
      <c r="F304">
        <v>5.0</v>
      </c>
      <c r="G304">
        <v>1.0</v>
      </c>
      <c r="H304" t="str">
        <f t="shared" si="2"/>
        <v>5</v>
      </c>
      <c r="I304">
        <v>102.0</v>
      </c>
      <c r="J304" t="str">
        <f t="shared" si="3"/>
        <v>323.85</v>
      </c>
      <c r="K304" t="str">
        <f t="shared" si="4"/>
        <v>1091.3745</v>
      </c>
      <c r="L304" t="str">
        <f t="shared" si="5"/>
        <v>21.82749</v>
      </c>
      <c r="M304" t="str">
        <f t="shared" si="6"/>
        <v>337</v>
      </c>
      <c r="N304" t="s">
        <v>182</v>
      </c>
      <c r="O304" t="s">
        <v>628</v>
      </c>
    </row>
    <row r="305" ht="15.75" customHeight="1">
      <c r="A305">
        <v>306.0</v>
      </c>
      <c r="B305">
        <v>52.3</v>
      </c>
      <c r="C305">
        <v>451.0</v>
      </c>
      <c r="D305">
        <v>3.0</v>
      </c>
      <c r="E305" t="str">
        <f t="shared" si="1"/>
        <v>3.025</v>
      </c>
      <c r="F305">
        <v>4.0</v>
      </c>
      <c r="G305">
        <v>1.0</v>
      </c>
      <c r="H305" t="str">
        <f t="shared" si="2"/>
        <v>4</v>
      </c>
      <c r="I305">
        <v>143.0</v>
      </c>
      <c r="J305" t="str">
        <f t="shared" si="3"/>
        <v>454.025</v>
      </c>
      <c r="K305" t="str">
        <f t="shared" si="4"/>
        <v>1081.48755</v>
      </c>
      <c r="L305" t="str">
        <f t="shared" si="5"/>
        <v>27.03718875</v>
      </c>
      <c r="M305" t="str">
        <f t="shared" si="6"/>
        <v>238.2</v>
      </c>
      <c r="N305" t="s">
        <v>187</v>
      </c>
      <c r="O305" t="s">
        <v>629</v>
      </c>
      <c r="P305" t="s">
        <v>630</v>
      </c>
    </row>
    <row r="306" ht="15.75" customHeight="1">
      <c r="A306">
        <v>307.0</v>
      </c>
      <c r="B306">
        <v>85.0</v>
      </c>
      <c r="C306">
        <v>330.0</v>
      </c>
      <c r="D306">
        <v>5.0</v>
      </c>
      <c r="E306" t="str">
        <f t="shared" si="1"/>
        <v>3.375</v>
      </c>
      <c r="F306">
        <v>2.0</v>
      </c>
      <c r="G306">
        <v>1.0</v>
      </c>
      <c r="H306" t="str">
        <f t="shared" si="2"/>
        <v>2</v>
      </c>
      <c r="I306">
        <v>105.0</v>
      </c>
      <c r="J306" t="str">
        <f t="shared" si="3"/>
        <v>333.375</v>
      </c>
      <c r="K306" t="str">
        <f t="shared" si="4"/>
        <v>656.74875</v>
      </c>
      <c r="L306" t="str">
        <f t="shared" si="5"/>
        <v>32.8374375</v>
      </c>
      <c r="M306" t="str">
        <f t="shared" si="6"/>
        <v>197</v>
      </c>
      <c r="N306" t="s">
        <v>187</v>
      </c>
      <c r="O306" t="s">
        <v>631</v>
      </c>
      <c r="P306" t="s">
        <v>632</v>
      </c>
    </row>
    <row r="307" ht="15.75" customHeight="1">
      <c r="A307">
        <v>308.0</v>
      </c>
      <c r="B307">
        <v>75.0</v>
      </c>
      <c r="C307">
        <v>276.0</v>
      </c>
      <c r="D307">
        <v>5.0</v>
      </c>
      <c r="E307" t="str">
        <f t="shared" si="1"/>
        <v>3.4</v>
      </c>
      <c r="F307">
        <v>2.0</v>
      </c>
      <c r="G307">
        <v>2.0</v>
      </c>
      <c r="H307" t="str">
        <f t="shared" si="2"/>
        <v>4</v>
      </c>
      <c r="I307">
        <v>176.0</v>
      </c>
      <c r="J307" t="str">
        <f t="shared" si="3"/>
        <v>558.8</v>
      </c>
      <c r="K307" t="str">
        <f t="shared" si="4"/>
        <v>989.076</v>
      </c>
      <c r="L307" t="str">
        <f t="shared" si="5"/>
        <v>24.7269</v>
      </c>
      <c r="M307" t="str">
        <f t="shared" si="6"/>
        <v>177</v>
      </c>
      <c r="N307" t="s">
        <v>187</v>
      </c>
      <c r="O307" t="s">
        <v>633</v>
      </c>
      <c r="P307" t="s">
        <v>634</v>
      </c>
    </row>
    <row r="308" ht="15.75" customHeight="1">
      <c r="A308">
        <v>309.0</v>
      </c>
      <c r="B308">
        <v>53.0</v>
      </c>
      <c r="C308">
        <v>42.0</v>
      </c>
      <c r="D308">
        <v>3.0</v>
      </c>
      <c r="E308" t="str">
        <f t="shared" si="1"/>
        <v>3.4025</v>
      </c>
      <c r="F308">
        <v>7.0</v>
      </c>
      <c r="G308">
        <v>10.0</v>
      </c>
      <c r="H308" t="str">
        <f t="shared" si="2"/>
        <v>70</v>
      </c>
      <c r="I308">
        <v>143.0</v>
      </c>
      <c r="J308" t="str">
        <f t="shared" si="3"/>
        <v>454.025</v>
      </c>
      <c r="K308" t="str">
        <f t="shared" si="4"/>
        <v>1856.96225</v>
      </c>
      <c r="L308" t="str">
        <f t="shared" si="5"/>
        <v>2.652803214</v>
      </c>
      <c r="M308" t="str">
        <f t="shared" si="6"/>
        <v>409</v>
      </c>
      <c r="N308" t="s">
        <v>182</v>
      </c>
      <c r="O308" t="s">
        <v>635</v>
      </c>
    </row>
    <row r="309" ht="15.75" customHeight="1">
      <c r="A309">
        <v>310.0</v>
      </c>
      <c r="B309">
        <v>59.5</v>
      </c>
      <c r="C309">
        <v>105.0</v>
      </c>
      <c r="D309">
        <v>3.0</v>
      </c>
      <c r="E309" t="str">
        <f t="shared" si="1"/>
        <v>2.95</v>
      </c>
      <c r="F309">
        <v>6.0</v>
      </c>
      <c r="G309">
        <v>3.0</v>
      </c>
      <c r="H309" t="str">
        <f t="shared" si="2"/>
        <v>18</v>
      </c>
      <c r="I309">
        <v>102.0</v>
      </c>
      <c r="J309" t="str">
        <f t="shared" si="3"/>
        <v>323.85</v>
      </c>
      <c r="K309" t="str">
        <f t="shared" si="4"/>
        <v>1269.492</v>
      </c>
      <c r="L309" t="str">
        <f t="shared" si="5"/>
        <v>7.052733333</v>
      </c>
      <c r="M309" t="str">
        <f t="shared" si="6"/>
        <v>392</v>
      </c>
      <c r="N309" t="s">
        <v>182</v>
      </c>
      <c r="O309" t="s">
        <v>636</v>
      </c>
    </row>
    <row r="310" ht="15.75" customHeight="1">
      <c r="A310">
        <v>311.0</v>
      </c>
      <c r="B310">
        <v>70.0</v>
      </c>
      <c r="C310">
        <v>240.0</v>
      </c>
      <c r="D310">
        <v>3.0</v>
      </c>
      <c r="E310" t="str">
        <f t="shared" si="1"/>
        <v>2.8875</v>
      </c>
      <c r="F310">
        <v>5.0</v>
      </c>
      <c r="G310">
        <v>2.0</v>
      </c>
      <c r="H310" t="str">
        <f t="shared" si="2"/>
        <v>10</v>
      </c>
      <c r="I310">
        <v>153.0</v>
      </c>
      <c r="J310" t="str">
        <f t="shared" si="3"/>
        <v>485.775</v>
      </c>
      <c r="K310" t="str">
        <f t="shared" si="4"/>
        <v>1855.6605</v>
      </c>
      <c r="L310" t="str">
        <f t="shared" si="5"/>
        <v>18.556605</v>
      </c>
      <c r="M310" t="str">
        <f t="shared" si="6"/>
        <v>382</v>
      </c>
      <c r="N310" t="s">
        <v>182</v>
      </c>
      <c r="O310" t="s">
        <v>637</v>
      </c>
    </row>
    <row r="311" ht="15.75" customHeight="1">
      <c r="A311">
        <v>312.0</v>
      </c>
      <c r="B311">
        <v>59.0</v>
      </c>
      <c r="C311">
        <v>84.0</v>
      </c>
      <c r="D311">
        <v>3.0</v>
      </c>
      <c r="E311" t="str">
        <f t="shared" si="1"/>
        <v>6.805</v>
      </c>
      <c r="F311">
        <v>6.0</v>
      </c>
      <c r="G311">
        <v>5.0</v>
      </c>
      <c r="H311" t="str">
        <f t="shared" si="2"/>
        <v>30</v>
      </c>
      <c r="I311">
        <v>143.0</v>
      </c>
      <c r="J311" t="str">
        <f t="shared" si="3"/>
        <v>454.025</v>
      </c>
      <c r="K311" t="str">
        <f t="shared" si="4"/>
        <v>1766.15725</v>
      </c>
      <c r="L311" t="str">
        <f t="shared" si="5"/>
        <v>5.887190833</v>
      </c>
      <c r="M311" t="str">
        <f t="shared" si="6"/>
        <v>389</v>
      </c>
      <c r="N311" t="s">
        <v>182</v>
      </c>
      <c r="O311" t="s">
        <v>638</v>
      </c>
    </row>
    <row r="312" ht="15.75" customHeight="1">
      <c r="A312">
        <v>313.0</v>
      </c>
      <c r="B312">
        <v>144.0</v>
      </c>
      <c r="C312">
        <v>84.0</v>
      </c>
      <c r="D312">
        <v>5.0</v>
      </c>
      <c r="E312" t="str">
        <f t="shared" si="1"/>
        <v>6.805</v>
      </c>
      <c r="F312">
        <v>2.0</v>
      </c>
      <c r="G312">
        <v>5.0</v>
      </c>
      <c r="H312" t="str">
        <f t="shared" si="2"/>
        <v>10</v>
      </c>
      <c r="I312">
        <v>143.0</v>
      </c>
      <c r="J312" t="str">
        <f t="shared" si="3"/>
        <v>454.025</v>
      </c>
      <c r="K312" t="str">
        <f t="shared" si="4"/>
        <v>1430.17875</v>
      </c>
      <c r="L312" t="str">
        <f t="shared" si="5"/>
        <v>14.3017875</v>
      </c>
      <c r="M312" t="str">
        <f t="shared" si="6"/>
        <v>315</v>
      </c>
      <c r="N312" t="s">
        <v>182</v>
      </c>
      <c r="O312" t="s">
        <v>639</v>
      </c>
      <c r="P312" t="s">
        <v>640</v>
      </c>
    </row>
    <row r="313" ht="15.75" customHeight="1">
      <c r="A313">
        <v>314.0</v>
      </c>
      <c r="B313">
        <v>100.0</v>
      </c>
      <c r="C313">
        <v>100.0</v>
      </c>
      <c r="D313">
        <v>3.0</v>
      </c>
      <c r="E313" t="str">
        <f t="shared" si="1"/>
        <v>3.716666667</v>
      </c>
      <c r="F313">
        <v>4.0</v>
      </c>
      <c r="G313">
        <v>3.0</v>
      </c>
      <c r="H313" t="str">
        <f t="shared" si="2"/>
        <v>12</v>
      </c>
      <c r="I313">
        <v>98.0</v>
      </c>
      <c r="J313" t="str">
        <f t="shared" si="3"/>
        <v>311.15</v>
      </c>
      <c r="K313" t="str">
        <f t="shared" si="4"/>
        <v>1334.8335</v>
      </c>
      <c r="L313" t="str">
        <f t="shared" si="5"/>
        <v>11.1236125</v>
      </c>
      <c r="M313" t="str">
        <f t="shared" si="6"/>
        <v>429</v>
      </c>
      <c r="N313" t="s">
        <v>182</v>
      </c>
      <c r="O313" t="s">
        <v>641</v>
      </c>
    </row>
    <row r="314" ht="15.75" customHeight="1">
      <c r="A314">
        <v>315.0</v>
      </c>
      <c r="B314">
        <v>75.0</v>
      </c>
      <c r="C314">
        <v>326.0</v>
      </c>
      <c r="D314">
        <v>5.0</v>
      </c>
      <c r="E314" t="str">
        <f t="shared" si="1"/>
        <v>7.375</v>
      </c>
      <c r="F314">
        <v>2.0</v>
      </c>
      <c r="G314">
        <v>1.0</v>
      </c>
      <c r="H314" t="str">
        <f t="shared" si="2"/>
        <v>2</v>
      </c>
      <c r="I314">
        <v>105.0</v>
      </c>
      <c r="J314" t="str">
        <f t="shared" si="3"/>
        <v>333.375</v>
      </c>
      <c r="K314" t="str">
        <f t="shared" si="4"/>
        <v>590.07375</v>
      </c>
      <c r="L314" t="str">
        <f t="shared" si="5"/>
        <v>29.5036875</v>
      </c>
      <c r="M314" t="str">
        <f t="shared" si="6"/>
        <v>177</v>
      </c>
      <c r="N314" t="s">
        <v>187</v>
      </c>
      <c r="O314" t="s">
        <v>642</v>
      </c>
      <c r="P314" t="s">
        <v>634</v>
      </c>
    </row>
    <row r="315" ht="15.75" customHeight="1">
      <c r="A315">
        <v>316.0</v>
      </c>
      <c r="B315">
        <v>75.0</v>
      </c>
      <c r="C315">
        <v>326.0</v>
      </c>
      <c r="D315">
        <v>5.0</v>
      </c>
      <c r="E315" t="str">
        <f t="shared" si="1"/>
        <v>7.375</v>
      </c>
      <c r="F315">
        <v>2.0</v>
      </c>
      <c r="G315">
        <v>1.0</v>
      </c>
      <c r="H315" t="str">
        <f t="shared" si="2"/>
        <v>2</v>
      </c>
      <c r="I315">
        <v>105.0</v>
      </c>
      <c r="J315" t="str">
        <f t="shared" si="3"/>
        <v>333.375</v>
      </c>
      <c r="K315" t="str">
        <f t="shared" si="4"/>
        <v>590.07375</v>
      </c>
      <c r="L315" t="str">
        <f t="shared" si="5"/>
        <v>29.5036875</v>
      </c>
      <c r="M315" t="str">
        <f t="shared" si="6"/>
        <v>177</v>
      </c>
      <c r="N315" t="s">
        <v>187</v>
      </c>
      <c r="O315" t="s">
        <v>643</v>
      </c>
      <c r="P315" t="s">
        <v>634</v>
      </c>
    </row>
    <row r="316" ht="15.75" customHeight="1">
      <c r="A316">
        <v>317.0</v>
      </c>
      <c r="B316">
        <v>130.0</v>
      </c>
      <c r="C316">
        <v>75.0</v>
      </c>
      <c r="D316">
        <v>5.0</v>
      </c>
      <c r="E316" t="str">
        <f t="shared" si="1"/>
        <v>2.7875</v>
      </c>
      <c r="F316">
        <v>2.0</v>
      </c>
      <c r="G316">
        <v>4.0</v>
      </c>
      <c r="H316" t="str">
        <f t="shared" si="2"/>
        <v>8</v>
      </c>
      <c r="I316">
        <v>98.0</v>
      </c>
      <c r="J316" t="str">
        <f t="shared" si="3"/>
        <v>311.15</v>
      </c>
      <c r="K316" t="str">
        <f t="shared" si="4"/>
        <v>893.0005</v>
      </c>
      <c r="L316" t="str">
        <f t="shared" si="5"/>
        <v>11.16250625</v>
      </c>
      <c r="M316" t="str">
        <f t="shared" si="6"/>
        <v>287</v>
      </c>
      <c r="N316" t="s">
        <v>182</v>
      </c>
      <c r="O316" t="s">
        <v>644</v>
      </c>
      <c r="P316" t="s">
        <v>645</v>
      </c>
    </row>
    <row r="317" ht="15.75" customHeight="1">
      <c r="A317">
        <v>318.0</v>
      </c>
      <c r="B317">
        <v>30.0</v>
      </c>
      <c r="C317">
        <v>69.0</v>
      </c>
      <c r="D317">
        <v>3.0</v>
      </c>
      <c r="E317" t="str">
        <f t="shared" si="1"/>
        <v>2.4375</v>
      </c>
      <c r="F317">
        <v>8.0</v>
      </c>
      <c r="G317">
        <v>6.0</v>
      </c>
      <c r="H317" t="str">
        <f t="shared" si="2"/>
        <v>48</v>
      </c>
      <c r="I317">
        <v>135.0</v>
      </c>
      <c r="J317" t="str">
        <f t="shared" si="3"/>
        <v>428.625</v>
      </c>
      <c r="K317" t="str">
        <f t="shared" si="4"/>
        <v>1204.43625</v>
      </c>
      <c r="L317" t="str">
        <f t="shared" si="5"/>
        <v>2.509242188</v>
      </c>
      <c r="M317" t="str">
        <f t="shared" si="6"/>
        <v>281</v>
      </c>
      <c r="N317" t="s">
        <v>182</v>
      </c>
      <c r="O317" t="s">
        <v>646</v>
      </c>
    </row>
    <row r="318" ht="15.75" customHeight="1">
      <c r="A318">
        <v>319.0</v>
      </c>
      <c r="B318">
        <v>60.0</v>
      </c>
      <c r="C318">
        <v>168.225</v>
      </c>
      <c r="D318">
        <v>3.0</v>
      </c>
      <c r="E318" t="str">
        <f t="shared" si="1"/>
        <v>3.225</v>
      </c>
      <c r="F318">
        <v>6.0</v>
      </c>
      <c r="G318">
        <v>2.0</v>
      </c>
      <c r="H318" t="str">
        <f t="shared" si="2"/>
        <v>12</v>
      </c>
      <c r="I318">
        <v>108.0</v>
      </c>
      <c r="J318" t="str">
        <f t="shared" si="3"/>
        <v>342.9</v>
      </c>
      <c r="K318" t="str">
        <f t="shared" si="4"/>
        <v>1354.455</v>
      </c>
      <c r="L318" t="str">
        <f t="shared" si="5"/>
        <v>11.287125</v>
      </c>
      <c r="M318" t="str">
        <f t="shared" si="6"/>
        <v>395</v>
      </c>
      <c r="N318" t="s">
        <v>187</v>
      </c>
      <c r="O318" t="s">
        <v>647</v>
      </c>
      <c r="P318" t="s">
        <v>648</v>
      </c>
    </row>
    <row r="319" ht="15.75" customHeight="1">
      <c r="A319">
        <v>320.0</v>
      </c>
      <c r="B319">
        <v>195.0</v>
      </c>
      <c r="C319">
        <v>165.0</v>
      </c>
      <c r="D319">
        <v>5.0</v>
      </c>
      <c r="E319" t="str">
        <f t="shared" si="1"/>
        <v>6.45</v>
      </c>
      <c r="F319">
        <v>2.0</v>
      </c>
      <c r="G319">
        <v>2.0</v>
      </c>
      <c r="H319" t="str">
        <f t="shared" si="2"/>
        <v>4</v>
      </c>
      <c r="I319">
        <v>108.0</v>
      </c>
      <c r="J319" t="str">
        <f t="shared" si="3"/>
        <v>342.9</v>
      </c>
      <c r="K319" t="str">
        <f t="shared" si="4"/>
        <v>1429.893</v>
      </c>
      <c r="L319" t="str">
        <f t="shared" si="5"/>
        <v>35.747325</v>
      </c>
      <c r="M319" t="str">
        <f t="shared" si="6"/>
        <v>417</v>
      </c>
      <c r="N319" t="s">
        <v>187</v>
      </c>
      <c r="O319" t="s">
        <v>649</v>
      </c>
      <c r="P319" t="s">
        <v>650</v>
      </c>
    </row>
    <row r="320" ht="15.75" customHeight="1">
      <c r="A320">
        <v>321.0</v>
      </c>
      <c r="B320">
        <v>25.0</v>
      </c>
      <c r="C320">
        <v>15.0</v>
      </c>
      <c r="D320">
        <v>2.5</v>
      </c>
      <c r="E320" t="str">
        <f t="shared" si="1"/>
        <v>2.929411765</v>
      </c>
      <c r="F320">
        <v>13.0</v>
      </c>
      <c r="G320">
        <v>17.0</v>
      </c>
      <c r="H320" t="str">
        <f t="shared" si="2"/>
        <v>221</v>
      </c>
      <c r="I320">
        <v>96.0</v>
      </c>
      <c r="J320" t="str">
        <f t="shared" si="3"/>
        <v>304.8</v>
      </c>
      <c r="K320" t="str">
        <f t="shared" si="4"/>
        <v>1141.476</v>
      </c>
      <c r="L320" t="str">
        <f t="shared" si="5"/>
        <v>0.5165049774</v>
      </c>
      <c r="M320" t="str">
        <f t="shared" si="6"/>
        <v>374.5</v>
      </c>
      <c r="N320" t="s">
        <v>187</v>
      </c>
      <c r="O320" t="s">
        <v>651</v>
      </c>
      <c r="P320" t="s">
        <v>652</v>
      </c>
    </row>
    <row r="321" ht="15.75" customHeight="1">
      <c r="A321">
        <v>322.0</v>
      </c>
      <c r="B321">
        <v>132.5</v>
      </c>
      <c r="C321">
        <v>83.0</v>
      </c>
      <c r="D321">
        <v>4.0</v>
      </c>
      <c r="E321" t="str">
        <f t="shared" si="1"/>
        <v>2.725</v>
      </c>
      <c r="F321">
        <v>3.0</v>
      </c>
      <c r="G321">
        <v>4.0</v>
      </c>
      <c r="H321" t="str">
        <f t="shared" si="2"/>
        <v>12</v>
      </c>
      <c r="I321">
        <v>108.0</v>
      </c>
      <c r="J321" t="str">
        <f t="shared" si="3"/>
        <v>342.9</v>
      </c>
      <c r="K321" t="str">
        <f t="shared" si="4"/>
        <v>1462.4685</v>
      </c>
      <c r="L321" t="str">
        <f t="shared" si="5"/>
        <v>12.1872375</v>
      </c>
      <c r="M321" t="str">
        <f t="shared" si="6"/>
        <v>426.5</v>
      </c>
      <c r="N321" t="s">
        <v>187</v>
      </c>
      <c r="O321" t="s">
        <v>653</v>
      </c>
      <c r="P321" t="s">
        <v>654</v>
      </c>
    </row>
    <row r="322" ht="15.75" customHeight="1">
      <c r="A322">
        <v>323.0</v>
      </c>
      <c r="B322">
        <v>80.0</v>
      </c>
      <c r="C322">
        <v>397.0</v>
      </c>
      <c r="D322">
        <v>3.0</v>
      </c>
      <c r="E322" t="str">
        <f t="shared" si="1"/>
        <v>3.05</v>
      </c>
      <c r="F322">
        <v>4.0</v>
      </c>
      <c r="G322">
        <v>1.0</v>
      </c>
      <c r="H322" t="str">
        <f t="shared" si="2"/>
        <v>4</v>
      </c>
      <c r="I322">
        <v>126.0</v>
      </c>
      <c r="J322" t="str">
        <f t="shared" si="3"/>
        <v>400.05</v>
      </c>
      <c r="K322" t="str">
        <f t="shared" si="4"/>
        <v>1396.1745</v>
      </c>
      <c r="L322" t="str">
        <f t="shared" si="5"/>
        <v>34.9043625</v>
      </c>
      <c r="M322" t="str">
        <f t="shared" si="6"/>
        <v>349</v>
      </c>
      <c r="N322" t="s">
        <v>182</v>
      </c>
      <c r="O322" t="s">
        <v>655</v>
      </c>
    </row>
    <row r="323" ht="15.75" customHeight="1">
      <c r="A323">
        <v>324.0</v>
      </c>
      <c r="B323">
        <v>186.0</v>
      </c>
      <c r="C323">
        <v>107.0</v>
      </c>
      <c r="D323">
        <v>5.0</v>
      </c>
      <c r="E323" t="str">
        <f t="shared" si="1"/>
        <v>4.125</v>
      </c>
      <c r="F323">
        <v>2.0</v>
      </c>
      <c r="G323">
        <v>3.0</v>
      </c>
      <c r="H323" t="str">
        <f t="shared" si="2"/>
        <v>6</v>
      </c>
      <c r="I323">
        <v>105.0</v>
      </c>
      <c r="J323" t="str">
        <f t="shared" si="3"/>
        <v>333.375</v>
      </c>
      <c r="K323" t="str">
        <f t="shared" si="4"/>
        <v>1330.16625</v>
      </c>
      <c r="L323" t="str">
        <f t="shared" si="5"/>
        <v>22.1694375</v>
      </c>
      <c r="M323" t="str">
        <f t="shared" si="6"/>
        <v>399</v>
      </c>
      <c r="N323" t="s">
        <v>187</v>
      </c>
      <c r="O323" t="s">
        <v>656</v>
      </c>
      <c r="P323" t="s">
        <v>657</v>
      </c>
    </row>
    <row r="324" ht="15.75" customHeight="1">
      <c r="A324">
        <v>325.0</v>
      </c>
      <c r="B324">
        <v>139.0</v>
      </c>
      <c r="C324">
        <v>92.0</v>
      </c>
      <c r="D324">
        <v>4.0</v>
      </c>
      <c r="E324" t="str">
        <f t="shared" si="1"/>
        <v>3.25</v>
      </c>
      <c r="F324">
        <v>2.0</v>
      </c>
      <c r="G324">
        <v>4.0</v>
      </c>
      <c r="H324" t="str">
        <f t="shared" si="2"/>
        <v>8</v>
      </c>
      <c r="I324">
        <v>120.0</v>
      </c>
      <c r="J324" t="str">
        <f t="shared" si="3"/>
        <v>381</v>
      </c>
      <c r="K324" t="str">
        <f t="shared" si="4"/>
        <v>1154.43</v>
      </c>
      <c r="L324" t="str">
        <f t="shared" si="5"/>
        <v>14.430375</v>
      </c>
      <c r="M324" t="str">
        <f t="shared" si="6"/>
        <v>303</v>
      </c>
      <c r="N324" t="s">
        <v>187</v>
      </c>
      <c r="O324" t="s">
        <v>658</v>
      </c>
      <c r="P324" t="s">
        <v>659</v>
      </c>
    </row>
    <row r="325" ht="15.75" customHeight="1">
      <c r="A325">
        <v>326.0</v>
      </c>
      <c r="B325">
        <v>105.0</v>
      </c>
      <c r="C325">
        <v>77.0</v>
      </c>
      <c r="D325">
        <v>3.0</v>
      </c>
      <c r="E325" t="str">
        <f t="shared" si="1"/>
        <v>3.01</v>
      </c>
      <c r="F325">
        <v>2.0</v>
      </c>
      <c r="G325">
        <v>5.0</v>
      </c>
      <c r="H325" t="str">
        <f t="shared" si="2"/>
        <v>10</v>
      </c>
      <c r="I325">
        <v>126.0</v>
      </c>
      <c r="J325" t="str">
        <f t="shared" si="3"/>
        <v>400.05</v>
      </c>
      <c r="K325" t="str">
        <f t="shared" si="4"/>
        <v>932.1165</v>
      </c>
      <c r="L325" t="str">
        <f t="shared" si="5"/>
        <v>9.321165</v>
      </c>
      <c r="M325" t="str">
        <f t="shared" si="6"/>
        <v>233</v>
      </c>
      <c r="N325" t="s">
        <v>182</v>
      </c>
      <c r="O325" t="s">
        <v>660</v>
      </c>
    </row>
    <row r="326" ht="15.75" customHeight="1">
      <c r="A326">
        <v>327.0</v>
      </c>
      <c r="B326">
        <v>90.0</v>
      </c>
      <c r="C326">
        <v>80.0</v>
      </c>
      <c r="D326">
        <v>3.0</v>
      </c>
      <c r="E326" t="str">
        <f t="shared" si="1"/>
        <v>3.34375</v>
      </c>
      <c r="F326">
        <v>4.0</v>
      </c>
      <c r="G326">
        <v>4.0</v>
      </c>
      <c r="H326" t="str">
        <f t="shared" si="2"/>
        <v>16</v>
      </c>
      <c r="I326">
        <v>105.0</v>
      </c>
      <c r="J326" t="str">
        <f t="shared" si="3"/>
        <v>333.375</v>
      </c>
      <c r="K326" t="str">
        <f t="shared" si="4"/>
        <v>1296.82875</v>
      </c>
      <c r="L326" t="str">
        <f t="shared" si="5"/>
        <v>8.105179688</v>
      </c>
      <c r="M326" t="str">
        <f t="shared" si="6"/>
        <v>389</v>
      </c>
      <c r="N326" t="s">
        <v>182</v>
      </c>
      <c r="O326" t="s">
        <v>661</v>
      </c>
      <c r="P326" t="s">
        <v>662</v>
      </c>
    </row>
    <row r="327" ht="15.75" customHeight="1">
      <c r="A327">
        <v>328.0</v>
      </c>
      <c r="B327">
        <v>132.0</v>
      </c>
      <c r="C327">
        <v>118.0</v>
      </c>
      <c r="D327">
        <v>3.0</v>
      </c>
      <c r="E327" t="str">
        <f t="shared" si="1"/>
        <v>3.44375</v>
      </c>
      <c r="F327">
        <v>3.0</v>
      </c>
      <c r="G327">
        <v>4.0</v>
      </c>
      <c r="H327" t="str">
        <f t="shared" si="2"/>
        <v>12</v>
      </c>
      <c r="I327">
        <v>153.0</v>
      </c>
      <c r="J327" t="str">
        <f t="shared" si="3"/>
        <v>485.775</v>
      </c>
      <c r="K327" t="str">
        <f t="shared" si="4"/>
        <v>2049.9705</v>
      </c>
      <c r="L327" t="str">
        <f t="shared" si="5"/>
        <v>17.0830875</v>
      </c>
      <c r="M327" t="str">
        <f t="shared" si="6"/>
        <v>422</v>
      </c>
      <c r="N327" t="s">
        <v>182</v>
      </c>
      <c r="O327" t="s">
        <v>663</v>
      </c>
      <c r="P327" t="s">
        <v>664</v>
      </c>
    </row>
    <row r="328" ht="15.75" customHeight="1">
      <c r="A328">
        <v>329.0</v>
      </c>
      <c r="B328">
        <v>172.0</v>
      </c>
      <c r="C328">
        <v>66.0</v>
      </c>
      <c r="D328">
        <v>3.0</v>
      </c>
      <c r="E328" t="str">
        <f t="shared" si="1"/>
        <v>3.396428571</v>
      </c>
      <c r="F328">
        <v>2.0</v>
      </c>
      <c r="G328">
        <v>7.0</v>
      </c>
      <c r="H328" t="str">
        <f t="shared" si="2"/>
        <v>14</v>
      </c>
      <c r="I328">
        <v>153.0</v>
      </c>
      <c r="J328" t="str">
        <f t="shared" si="3"/>
        <v>485.775</v>
      </c>
      <c r="K328" t="str">
        <f t="shared" si="4"/>
        <v>1782.79425</v>
      </c>
      <c r="L328" t="str">
        <f t="shared" si="5"/>
        <v>12.73424464</v>
      </c>
      <c r="M328" t="str">
        <f t="shared" si="6"/>
        <v>367</v>
      </c>
      <c r="N328" t="s">
        <v>187</v>
      </c>
      <c r="O328" t="s">
        <v>665</v>
      </c>
      <c r="P328" t="s">
        <v>666</v>
      </c>
    </row>
    <row r="329" ht="15.75" customHeight="1">
      <c r="A329">
        <v>330.0</v>
      </c>
      <c r="B329">
        <v>105.0</v>
      </c>
      <c r="C329">
        <v>77.0</v>
      </c>
      <c r="D329">
        <v>3.0</v>
      </c>
      <c r="E329" t="str">
        <f t="shared" si="1"/>
        <v>6.34375</v>
      </c>
      <c r="F329">
        <v>2.0</v>
      </c>
      <c r="G329">
        <v>4.0</v>
      </c>
      <c r="H329" t="str">
        <f t="shared" si="2"/>
        <v>8</v>
      </c>
      <c r="I329">
        <v>105.0</v>
      </c>
      <c r="J329" t="str">
        <f t="shared" si="3"/>
        <v>333.375</v>
      </c>
      <c r="K329" t="str">
        <f t="shared" si="4"/>
        <v>776.76375</v>
      </c>
      <c r="L329" t="str">
        <f t="shared" si="5"/>
        <v>9.709546875</v>
      </c>
      <c r="M329" t="str">
        <f t="shared" si="6"/>
        <v>233</v>
      </c>
      <c r="N329" t="s">
        <v>182</v>
      </c>
      <c r="O329" t="s">
        <v>667</v>
      </c>
    </row>
    <row r="330" ht="15.75" customHeight="1">
      <c r="A330">
        <v>331.0</v>
      </c>
      <c r="B330">
        <v>84.0</v>
      </c>
      <c r="C330">
        <v>260.0</v>
      </c>
      <c r="D330">
        <v>3.0</v>
      </c>
      <c r="E330" t="str">
        <f t="shared" si="1"/>
        <v>19.4</v>
      </c>
      <c r="F330">
        <v>4.0</v>
      </c>
      <c r="G330">
        <v>2.0</v>
      </c>
      <c r="H330" t="str">
        <f t="shared" si="2"/>
        <v>8</v>
      </c>
      <c r="I330">
        <v>176.0</v>
      </c>
      <c r="J330" t="str">
        <f t="shared" si="3"/>
        <v>558.8</v>
      </c>
      <c r="K330" t="str">
        <f t="shared" si="4"/>
        <v>2039.62</v>
      </c>
      <c r="L330" t="str">
        <f t="shared" si="5"/>
        <v>25.49525</v>
      </c>
      <c r="M330" t="str">
        <f t="shared" si="6"/>
        <v>365</v>
      </c>
      <c r="N330" t="s">
        <v>182</v>
      </c>
      <c r="O330" t="s">
        <v>668</v>
      </c>
    </row>
    <row r="331" ht="15.75" customHeight="1">
      <c r="A331">
        <v>332.0</v>
      </c>
      <c r="B331">
        <v>70.0</v>
      </c>
      <c r="C331">
        <v>36.0</v>
      </c>
      <c r="D331">
        <v>3.0</v>
      </c>
      <c r="E331" t="str">
        <f t="shared" si="1"/>
        <v>2.89375</v>
      </c>
      <c r="F331">
        <v>5.0</v>
      </c>
      <c r="G331">
        <v>8.0</v>
      </c>
      <c r="H331" t="str">
        <f t="shared" si="2"/>
        <v>40</v>
      </c>
      <c r="I331">
        <v>98.0</v>
      </c>
      <c r="J331" t="str">
        <f t="shared" si="3"/>
        <v>311.15</v>
      </c>
      <c r="K331" t="str">
        <f t="shared" si="4"/>
        <v>1188.593</v>
      </c>
      <c r="L331" t="str">
        <f t="shared" si="5"/>
        <v>2.9714825</v>
      </c>
      <c r="M331" t="str">
        <f t="shared" si="6"/>
        <v>382</v>
      </c>
      <c r="N331" t="s">
        <v>187</v>
      </c>
      <c r="O331" t="s">
        <v>669</v>
      </c>
      <c r="P331" t="s">
        <v>670</v>
      </c>
    </row>
    <row r="332" ht="15.75" customHeight="1">
      <c r="A332">
        <v>333.0</v>
      </c>
      <c r="B332">
        <v>18.0</v>
      </c>
      <c r="C332">
        <v>95.0</v>
      </c>
      <c r="D332">
        <v>3.0</v>
      </c>
      <c r="E332" t="str">
        <f t="shared" si="1"/>
        <v>5.0125</v>
      </c>
      <c r="F332">
        <v>10.0</v>
      </c>
      <c r="G332">
        <v>4.0</v>
      </c>
      <c r="H332" t="str">
        <f t="shared" si="2"/>
        <v>40</v>
      </c>
      <c r="I332">
        <v>126.0</v>
      </c>
      <c r="J332" t="str">
        <f t="shared" si="3"/>
        <v>400.05</v>
      </c>
      <c r="K332" t="str">
        <f t="shared" si="4"/>
        <v>908.1135</v>
      </c>
      <c r="L332" t="str">
        <f t="shared" si="5"/>
        <v>2.27028375</v>
      </c>
      <c r="M332" t="str">
        <f t="shared" si="6"/>
        <v>227</v>
      </c>
      <c r="N332" t="s">
        <v>182</v>
      </c>
      <c r="O332" t="s">
        <v>671</v>
      </c>
    </row>
    <row r="333" ht="15.75" customHeight="1">
      <c r="A333">
        <v>334.0</v>
      </c>
      <c r="B333">
        <v>50.0</v>
      </c>
      <c r="C333">
        <v>82.0</v>
      </c>
      <c r="D333">
        <v>3.0</v>
      </c>
      <c r="E333" t="str">
        <f t="shared" si="1"/>
        <v>3.725</v>
      </c>
      <c r="F333">
        <v>7.0</v>
      </c>
      <c r="G333">
        <v>4.0</v>
      </c>
      <c r="H333" t="str">
        <f t="shared" si="2"/>
        <v>28</v>
      </c>
      <c r="I333">
        <v>108.0</v>
      </c>
      <c r="J333" t="str">
        <f t="shared" si="3"/>
        <v>342.9</v>
      </c>
      <c r="K333" t="str">
        <f t="shared" si="4"/>
        <v>1330.452</v>
      </c>
      <c r="L333" t="str">
        <f t="shared" si="5"/>
        <v>4.751614286</v>
      </c>
      <c r="M333" t="str">
        <f t="shared" si="6"/>
        <v>388</v>
      </c>
      <c r="N333" t="s">
        <v>182</v>
      </c>
      <c r="O333" t="s">
        <v>672</v>
      </c>
    </row>
    <row r="334" ht="15.75" customHeight="1">
      <c r="A334">
        <v>336.0</v>
      </c>
      <c r="B334">
        <v>125.0</v>
      </c>
      <c r="C334">
        <v>240.0</v>
      </c>
      <c r="D334">
        <v>3.0</v>
      </c>
      <c r="E334" t="str">
        <f t="shared" si="1"/>
        <v>2.8875</v>
      </c>
      <c r="F334">
        <v>3.0</v>
      </c>
      <c r="G334">
        <v>2.0</v>
      </c>
      <c r="H334" t="str">
        <f t="shared" si="2"/>
        <v>6</v>
      </c>
      <c r="I334">
        <v>153.0</v>
      </c>
      <c r="J334" t="str">
        <f t="shared" si="3"/>
        <v>485.775</v>
      </c>
      <c r="K334" t="str">
        <f t="shared" si="4"/>
        <v>1947.95775</v>
      </c>
      <c r="L334" t="str">
        <f t="shared" si="5"/>
        <v>32.4659625</v>
      </c>
      <c r="M334" t="str">
        <f t="shared" si="6"/>
        <v>401</v>
      </c>
      <c r="N334" t="s">
        <v>182</v>
      </c>
      <c r="O334" t="s">
        <v>673</v>
      </c>
    </row>
    <row r="335" ht="15.75" customHeight="1">
      <c r="A335">
        <v>337.0</v>
      </c>
      <c r="B335">
        <v>103.0</v>
      </c>
      <c r="C335">
        <v>161.0</v>
      </c>
      <c r="D335">
        <v>4.0</v>
      </c>
      <c r="E335" t="str">
        <f t="shared" si="1"/>
        <v>5.6875</v>
      </c>
      <c r="F335">
        <v>2.0</v>
      </c>
      <c r="G335">
        <v>2.0</v>
      </c>
      <c r="H335" t="str">
        <f t="shared" si="2"/>
        <v>4</v>
      </c>
      <c r="I335">
        <v>105.0</v>
      </c>
      <c r="J335" t="str">
        <f t="shared" si="3"/>
        <v>333.375</v>
      </c>
      <c r="K335" t="str">
        <f t="shared" si="4"/>
        <v>770.09625</v>
      </c>
      <c r="L335" t="str">
        <f t="shared" si="5"/>
        <v>19.25240625</v>
      </c>
      <c r="M335" t="str">
        <f t="shared" si="6"/>
        <v>231</v>
      </c>
      <c r="N335" t="s">
        <v>182</v>
      </c>
      <c r="O335" t="s">
        <v>674</v>
      </c>
      <c r="P335" t="s">
        <v>675</v>
      </c>
    </row>
    <row r="336" ht="15.75" customHeight="1">
      <c r="A336">
        <v>338.0</v>
      </c>
      <c r="B336">
        <v>131.0</v>
      </c>
      <c r="C336">
        <v>118.0</v>
      </c>
      <c r="D336">
        <v>5.0</v>
      </c>
      <c r="E336" t="str">
        <f t="shared" si="1"/>
        <v>3.44375</v>
      </c>
      <c r="F336">
        <v>2.0</v>
      </c>
      <c r="G336">
        <v>4.0</v>
      </c>
      <c r="H336" t="str">
        <f t="shared" si="2"/>
        <v>8</v>
      </c>
      <c r="I336">
        <v>153.0</v>
      </c>
      <c r="J336" t="str">
        <f t="shared" si="3"/>
        <v>485.775</v>
      </c>
      <c r="K336" t="str">
        <f t="shared" si="4"/>
        <v>1403.88975</v>
      </c>
      <c r="L336" t="str">
        <f t="shared" si="5"/>
        <v>17.54862188</v>
      </c>
      <c r="M336" t="str">
        <f t="shared" si="6"/>
        <v>289</v>
      </c>
      <c r="N336" t="s">
        <v>182</v>
      </c>
      <c r="O336" t="s">
        <v>676</v>
      </c>
      <c r="P336" t="s">
        <v>627</v>
      </c>
    </row>
    <row r="337" ht="15.75" customHeight="1">
      <c r="A337">
        <v>339.0</v>
      </c>
      <c r="B337">
        <v>27.0</v>
      </c>
      <c r="C337">
        <v>72.0</v>
      </c>
      <c r="D337">
        <v>3.0</v>
      </c>
      <c r="E337" t="str">
        <f t="shared" si="1"/>
        <v>3.670833333</v>
      </c>
      <c r="F337">
        <v>6.0</v>
      </c>
      <c r="G337">
        <v>6.0</v>
      </c>
      <c r="H337" t="str">
        <f t="shared" si="2"/>
        <v>36</v>
      </c>
      <c r="I337">
        <v>143.0</v>
      </c>
      <c r="J337" t="str">
        <f t="shared" si="3"/>
        <v>454.025</v>
      </c>
      <c r="K337" t="str">
        <f t="shared" si="4"/>
        <v>894.42925</v>
      </c>
      <c r="L337" t="str">
        <f t="shared" si="5"/>
        <v>2.484525694</v>
      </c>
      <c r="M337" t="str">
        <f t="shared" si="6"/>
        <v>197</v>
      </c>
      <c r="N337" t="s">
        <v>182</v>
      </c>
      <c r="O337" t="s">
        <v>677</v>
      </c>
    </row>
    <row r="338" ht="15.75" customHeight="1">
      <c r="A338">
        <v>340.0</v>
      </c>
      <c r="B338">
        <v>55.0</v>
      </c>
      <c r="C338">
        <v>147.0</v>
      </c>
      <c r="D338">
        <v>3.0</v>
      </c>
      <c r="E338" t="str">
        <f t="shared" si="1"/>
        <v>4.341666667</v>
      </c>
      <c r="F338">
        <v>3.0</v>
      </c>
      <c r="G338">
        <v>3.0</v>
      </c>
      <c r="H338" t="str">
        <f t="shared" si="2"/>
        <v>9</v>
      </c>
      <c r="I338">
        <v>143.0</v>
      </c>
      <c r="J338" t="str">
        <f t="shared" si="3"/>
        <v>454.025</v>
      </c>
      <c r="K338" t="str">
        <f t="shared" si="4"/>
        <v>867.18775</v>
      </c>
      <c r="L338" t="str">
        <f t="shared" si="5"/>
        <v>9.635419444</v>
      </c>
      <c r="M338" t="str">
        <f t="shared" si="6"/>
        <v>191</v>
      </c>
      <c r="N338" t="s">
        <v>182</v>
      </c>
      <c r="O338" t="s">
        <v>678</v>
      </c>
      <c r="P338" t="s">
        <v>679</v>
      </c>
    </row>
    <row r="339" ht="15.75" customHeight="1">
      <c r="A339">
        <v>341.0</v>
      </c>
      <c r="B339">
        <v>164.0</v>
      </c>
      <c r="C339">
        <v>66.0</v>
      </c>
      <c r="D339">
        <v>4.0</v>
      </c>
      <c r="E339" t="str">
        <f t="shared" si="1"/>
        <v>2.58</v>
      </c>
      <c r="F339">
        <v>2.0</v>
      </c>
      <c r="G339">
        <v>5.0</v>
      </c>
      <c r="H339" t="str">
        <f t="shared" si="2"/>
        <v>10</v>
      </c>
      <c r="I339">
        <v>108.0</v>
      </c>
      <c r="J339" t="str">
        <f t="shared" si="3"/>
        <v>342.9</v>
      </c>
      <c r="K339" t="str">
        <f t="shared" si="4"/>
        <v>1210.437</v>
      </c>
      <c r="L339" t="str">
        <f t="shared" si="5"/>
        <v>12.10437</v>
      </c>
      <c r="M339" t="str">
        <f t="shared" si="6"/>
        <v>353</v>
      </c>
      <c r="N339" t="s">
        <v>187</v>
      </c>
      <c r="O339" t="s">
        <v>680</v>
      </c>
      <c r="P339" t="s">
        <v>681</v>
      </c>
    </row>
    <row r="340" ht="15.75" customHeight="1">
      <c r="A340">
        <v>342.0</v>
      </c>
      <c r="B340">
        <v>104.5</v>
      </c>
      <c r="C340">
        <v>555.0</v>
      </c>
      <c r="D340">
        <v>3.0</v>
      </c>
      <c r="E340" t="str">
        <f t="shared" si="1"/>
        <v>3.8</v>
      </c>
      <c r="F340">
        <v>3.0</v>
      </c>
      <c r="G340">
        <v>1.0</v>
      </c>
      <c r="H340" t="str">
        <f t="shared" si="2"/>
        <v>3</v>
      </c>
      <c r="I340">
        <v>176.0</v>
      </c>
      <c r="J340" t="str">
        <f t="shared" si="3"/>
        <v>558.8</v>
      </c>
      <c r="K340" t="str">
        <f t="shared" si="4"/>
        <v>1897.126</v>
      </c>
      <c r="L340" t="str">
        <f t="shared" si="5"/>
        <v>63.23753333</v>
      </c>
      <c r="M340" t="str">
        <f t="shared" si="6"/>
        <v>339.5</v>
      </c>
      <c r="N340" t="s">
        <v>182</v>
      </c>
      <c r="O340" t="s">
        <v>682</v>
      </c>
    </row>
    <row r="341" ht="15.75" customHeight="1">
      <c r="A341">
        <v>343.0</v>
      </c>
      <c r="B341">
        <v>90.0</v>
      </c>
      <c r="C341">
        <v>224.0</v>
      </c>
      <c r="D341">
        <v>3.0</v>
      </c>
      <c r="E341" t="str">
        <f t="shared" si="1"/>
        <v>3.0125</v>
      </c>
      <c r="F341">
        <v>4.0</v>
      </c>
      <c r="G341">
        <v>2.0</v>
      </c>
      <c r="H341" t="str">
        <f t="shared" si="2"/>
        <v>8</v>
      </c>
      <c r="I341">
        <v>143.0</v>
      </c>
      <c r="J341" t="str">
        <f t="shared" si="3"/>
        <v>454.025</v>
      </c>
      <c r="K341" t="str">
        <f t="shared" si="4"/>
        <v>1766.15725</v>
      </c>
      <c r="L341" t="str">
        <f t="shared" si="5"/>
        <v>22.07696563</v>
      </c>
      <c r="M341" t="str">
        <f t="shared" si="6"/>
        <v>389</v>
      </c>
      <c r="N341" t="s">
        <v>182</v>
      </c>
      <c r="O341" t="s">
        <v>683</v>
      </c>
    </row>
    <row r="342" ht="15.75" customHeight="1">
      <c r="A342">
        <v>344.0</v>
      </c>
      <c r="B342">
        <v>53.0</v>
      </c>
      <c r="C342">
        <v>267.0</v>
      </c>
      <c r="D342">
        <v>3.0</v>
      </c>
      <c r="E342" t="str">
        <f t="shared" si="1"/>
        <v>12.4</v>
      </c>
      <c r="F342">
        <v>5.0</v>
      </c>
      <c r="G342">
        <v>2.0</v>
      </c>
      <c r="H342" t="str">
        <f t="shared" si="2"/>
        <v>10</v>
      </c>
      <c r="I342">
        <v>176.0</v>
      </c>
      <c r="J342" t="str">
        <f t="shared" si="3"/>
        <v>558.8</v>
      </c>
      <c r="K342" t="str">
        <f t="shared" si="4"/>
        <v>1659.636</v>
      </c>
      <c r="L342" t="str">
        <f t="shared" si="5"/>
        <v>16.59636</v>
      </c>
      <c r="M342" t="str">
        <f t="shared" si="6"/>
        <v>297</v>
      </c>
      <c r="N342" t="s">
        <v>182</v>
      </c>
      <c r="O342" t="s">
        <v>684</v>
      </c>
    </row>
    <row r="343" ht="15.75" customHeight="1">
      <c r="A343">
        <v>345.0</v>
      </c>
      <c r="B343">
        <v>50.0</v>
      </c>
      <c r="C343">
        <v>140.0</v>
      </c>
      <c r="D343">
        <v>3.0</v>
      </c>
      <c r="E343" t="str">
        <f t="shared" si="1"/>
        <v>2.875</v>
      </c>
      <c r="F343">
        <v>6.0</v>
      </c>
      <c r="G343">
        <v>3.0</v>
      </c>
      <c r="H343" t="str">
        <f t="shared" si="2"/>
        <v>18</v>
      </c>
      <c r="I343">
        <v>135.0</v>
      </c>
      <c r="J343" t="str">
        <f t="shared" si="3"/>
        <v>428.625</v>
      </c>
      <c r="K343" t="str">
        <f t="shared" si="4"/>
        <v>1435.89375</v>
      </c>
      <c r="L343" t="str">
        <f t="shared" si="5"/>
        <v>7.9771875</v>
      </c>
      <c r="M343" t="str">
        <f t="shared" si="6"/>
        <v>335</v>
      </c>
      <c r="N343" t="s">
        <v>182</v>
      </c>
      <c r="O343" t="s">
        <v>685</v>
      </c>
    </row>
    <row r="344" ht="15.75" customHeight="1">
      <c r="A344">
        <v>346.0</v>
      </c>
      <c r="B344">
        <v>40.0</v>
      </c>
      <c r="C344">
        <v>420.0</v>
      </c>
      <c r="D344">
        <v>3.0</v>
      </c>
      <c r="E344" t="str">
        <f t="shared" si="1"/>
        <v>8.625</v>
      </c>
      <c r="F344">
        <v>9.0</v>
      </c>
      <c r="G344">
        <v>1.0</v>
      </c>
      <c r="H344" t="str">
        <f t="shared" si="2"/>
        <v>9</v>
      </c>
      <c r="I344">
        <v>135.0</v>
      </c>
      <c r="J344" t="str">
        <f t="shared" si="3"/>
        <v>428.625</v>
      </c>
      <c r="K344" t="str">
        <f t="shared" si="4"/>
        <v>1731.645</v>
      </c>
      <c r="L344" t="str">
        <f t="shared" si="5"/>
        <v>19.2405</v>
      </c>
      <c r="M344" t="str">
        <f t="shared" si="6"/>
        <v>404</v>
      </c>
      <c r="N344" t="s">
        <v>182</v>
      </c>
      <c r="O344" t="s">
        <v>686</v>
      </c>
    </row>
    <row r="345" ht="15.75" customHeight="1">
      <c r="A345">
        <v>347.0</v>
      </c>
      <c r="B345">
        <v>70.0</v>
      </c>
      <c r="C345">
        <v>193.0</v>
      </c>
      <c r="D345">
        <v>3.0</v>
      </c>
      <c r="E345" t="str">
        <f t="shared" si="1"/>
        <v>7.025</v>
      </c>
      <c r="F345">
        <v>4.0</v>
      </c>
      <c r="G345">
        <v>2.0</v>
      </c>
      <c r="H345" t="str">
        <f t="shared" si="2"/>
        <v>8</v>
      </c>
      <c r="I345">
        <v>126.0</v>
      </c>
      <c r="J345" t="str">
        <f t="shared" si="3"/>
        <v>400.05</v>
      </c>
      <c r="K345" t="str">
        <f t="shared" si="4"/>
        <v>1236.1545</v>
      </c>
      <c r="L345" t="str">
        <f t="shared" si="5"/>
        <v>15.45193125</v>
      </c>
      <c r="M345" t="str">
        <f t="shared" si="6"/>
        <v>309</v>
      </c>
      <c r="N345" t="s">
        <v>182</v>
      </c>
      <c r="O345" t="s">
        <v>687</v>
      </c>
    </row>
    <row r="346" ht="15.75" customHeight="1">
      <c r="A346">
        <v>348.0</v>
      </c>
      <c r="B346">
        <v>50.0</v>
      </c>
      <c r="C346">
        <v>148.5</v>
      </c>
      <c r="D346">
        <v>3.0</v>
      </c>
      <c r="E346" t="str">
        <f t="shared" si="1"/>
        <v>2.841666667</v>
      </c>
      <c r="F346">
        <v>6.0</v>
      </c>
      <c r="G346">
        <v>3.0</v>
      </c>
      <c r="H346" t="str">
        <f t="shared" si="2"/>
        <v>18</v>
      </c>
      <c r="I346">
        <v>143.0</v>
      </c>
      <c r="J346" t="str">
        <f t="shared" si="3"/>
        <v>454.025</v>
      </c>
      <c r="K346" t="str">
        <f t="shared" si="4"/>
        <v>1520.98375</v>
      </c>
      <c r="L346" t="str">
        <f t="shared" si="5"/>
        <v>8.449909722</v>
      </c>
      <c r="M346" t="str">
        <f t="shared" si="6"/>
        <v>335</v>
      </c>
      <c r="N346" t="s">
        <v>182</v>
      </c>
      <c r="O346" t="s">
        <v>688</v>
      </c>
    </row>
    <row r="347" ht="15.75" customHeight="1">
      <c r="A347">
        <v>349.0</v>
      </c>
      <c r="B347">
        <v>60.0</v>
      </c>
      <c r="C347">
        <v>70.0</v>
      </c>
      <c r="D347">
        <v>3.0</v>
      </c>
      <c r="E347" t="str">
        <f t="shared" si="1"/>
        <v>6.2</v>
      </c>
      <c r="F347">
        <v>6.0</v>
      </c>
      <c r="G347">
        <v>5.0</v>
      </c>
      <c r="H347" t="str">
        <f t="shared" si="2"/>
        <v>30</v>
      </c>
      <c r="I347">
        <v>120.0</v>
      </c>
      <c r="J347" t="str">
        <f t="shared" si="3"/>
        <v>381</v>
      </c>
      <c r="K347" t="str">
        <f t="shared" si="4"/>
        <v>1504.95</v>
      </c>
      <c r="L347" t="str">
        <f t="shared" si="5"/>
        <v>5.0165</v>
      </c>
      <c r="M347" t="str">
        <f t="shared" si="6"/>
        <v>395</v>
      </c>
      <c r="N347" t="s">
        <v>182</v>
      </c>
      <c r="O347" t="s">
        <v>689</v>
      </c>
    </row>
    <row r="348" ht="15.75" customHeight="1">
      <c r="A348">
        <v>350.0</v>
      </c>
      <c r="B348">
        <v>20.0</v>
      </c>
      <c r="C348">
        <v>35.0</v>
      </c>
      <c r="D348">
        <v>3.0</v>
      </c>
      <c r="E348" t="str">
        <f t="shared" si="1"/>
        <v>3.1</v>
      </c>
      <c r="F348">
        <v>12.0</v>
      </c>
      <c r="G348">
        <v>8.0</v>
      </c>
      <c r="H348" t="str">
        <f t="shared" si="2"/>
        <v>96</v>
      </c>
      <c r="I348">
        <v>96.0</v>
      </c>
      <c r="J348" t="str">
        <f t="shared" si="3"/>
        <v>304.8</v>
      </c>
      <c r="K348" t="str">
        <f t="shared" si="4"/>
        <v>893.064</v>
      </c>
      <c r="L348" t="str">
        <f t="shared" si="5"/>
        <v>0.930275</v>
      </c>
      <c r="M348" t="str">
        <f t="shared" si="6"/>
        <v>293</v>
      </c>
      <c r="N348" t="s">
        <v>187</v>
      </c>
      <c r="O348" t="s">
        <v>690</v>
      </c>
      <c r="P348" t="s">
        <v>691</v>
      </c>
    </row>
    <row r="349" ht="15.75" customHeight="1">
      <c r="A349">
        <v>351.0</v>
      </c>
      <c r="B349">
        <v>120.0</v>
      </c>
      <c r="C349">
        <v>130.0</v>
      </c>
      <c r="D349">
        <v>3.0</v>
      </c>
      <c r="E349" t="str">
        <f t="shared" si="1"/>
        <v>3.35</v>
      </c>
      <c r="F349">
        <v>2.0</v>
      </c>
      <c r="G349">
        <v>3.0</v>
      </c>
      <c r="H349" t="str">
        <f t="shared" si="2"/>
        <v>6</v>
      </c>
      <c r="I349">
        <v>126.0</v>
      </c>
      <c r="J349" t="str">
        <f t="shared" si="3"/>
        <v>400.05</v>
      </c>
      <c r="K349" t="str">
        <f t="shared" si="4"/>
        <v>1052.1315</v>
      </c>
      <c r="L349" t="str">
        <f t="shared" si="5"/>
        <v>17.535525</v>
      </c>
      <c r="M349" t="str">
        <f t="shared" si="6"/>
        <v>263</v>
      </c>
      <c r="N349" t="s">
        <v>187</v>
      </c>
      <c r="O349" t="s">
        <v>692</v>
      </c>
      <c r="P349" t="s">
        <v>693</v>
      </c>
    </row>
    <row r="350" ht="15.75" customHeight="1">
      <c r="A350">
        <v>352.0</v>
      </c>
      <c r="B350">
        <v>79.0</v>
      </c>
      <c r="C350">
        <v>44.0</v>
      </c>
      <c r="D350">
        <v>3.0</v>
      </c>
      <c r="E350" t="str">
        <f t="shared" si="1"/>
        <v>3.625</v>
      </c>
      <c r="F350">
        <v>4.0</v>
      </c>
      <c r="G350">
        <v>8.0</v>
      </c>
      <c r="H350" t="str">
        <f t="shared" si="2"/>
        <v>32</v>
      </c>
      <c r="I350">
        <v>120.0</v>
      </c>
      <c r="J350" t="str">
        <f t="shared" si="3"/>
        <v>381</v>
      </c>
      <c r="K350" t="str">
        <f t="shared" si="4"/>
        <v>1314.45</v>
      </c>
      <c r="L350" t="str">
        <f t="shared" si="5"/>
        <v>4.10765625</v>
      </c>
      <c r="M350" t="str">
        <f t="shared" si="6"/>
        <v>345</v>
      </c>
      <c r="N350" t="s">
        <v>187</v>
      </c>
      <c r="O350" t="s">
        <v>694</v>
      </c>
      <c r="P350" t="s">
        <v>695</v>
      </c>
    </row>
    <row r="351" ht="15.75" customHeight="1">
      <c r="A351">
        <v>353.0</v>
      </c>
      <c r="B351">
        <v>100.0</v>
      </c>
      <c r="C351">
        <v>167.0</v>
      </c>
      <c r="D351">
        <v>3.0</v>
      </c>
      <c r="E351" t="str">
        <f t="shared" si="1"/>
        <v>4.45</v>
      </c>
      <c r="F351">
        <v>4.0</v>
      </c>
      <c r="G351">
        <v>2.0</v>
      </c>
      <c r="H351" t="str">
        <f t="shared" si="2"/>
        <v>8</v>
      </c>
      <c r="I351">
        <v>108.0</v>
      </c>
      <c r="J351" t="str">
        <f t="shared" si="3"/>
        <v>342.9</v>
      </c>
      <c r="K351" t="str">
        <f t="shared" si="4"/>
        <v>1471.041</v>
      </c>
      <c r="L351" t="str">
        <f t="shared" si="5"/>
        <v>18.3880125</v>
      </c>
      <c r="M351" t="str">
        <f t="shared" si="6"/>
        <v>429</v>
      </c>
      <c r="N351" t="s">
        <v>182</v>
      </c>
      <c r="O351" t="s">
        <v>696</v>
      </c>
    </row>
    <row r="352" ht="15.75" customHeight="1">
      <c r="A352">
        <v>354.0</v>
      </c>
      <c r="B352">
        <v>98.0</v>
      </c>
      <c r="C352">
        <v>58.0</v>
      </c>
      <c r="D352">
        <v>5.0</v>
      </c>
      <c r="E352" t="str">
        <f t="shared" si="1"/>
        <v>4.23</v>
      </c>
      <c r="F352">
        <v>2.0</v>
      </c>
      <c r="G352">
        <v>5.0</v>
      </c>
      <c r="H352" t="str">
        <f t="shared" si="2"/>
        <v>10</v>
      </c>
      <c r="I352">
        <v>98.0</v>
      </c>
      <c r="J352" t="str">
        <f t="shared" si="3"/>
        <v>311.15</v>
      </c>
      <c r="K352" t="str">
        <f t="shared" si="4"/>
        <v>693.8645</v>
      </c>
      <c r="L352" t="str">
        <f t="shared" si="5"/>
        <v>6.938645</v>
      </c>
      <c r="M352" t="str">
        <f t="shared" si="6"/>
        <v>223</v>
      </c>
      <c r="N352" t="s">
        <v>182</v>
      </c>
      <c r="O352" t="s">
        <v>697</v>
      </c>
      <c r="P352" t="s">
        <v>698</v>
      </c>
    </row>
    <row r="353" ht="15.75" customHeight="1">
      <c r="A353">
        <v>355.0</v>
      </c>
      <c r="B353">
        <v>148.0</v>
      </c>
      <c r="C353">
        <v>195.0</v>
      </c>
      <c r="D353">
        <v>3.0</v>
      </c>
      <c r="E353" t="str">
        <f t="shared" si="1"/>
        <v>5.025</v>
      </c>
      <c r="F353">
        <v>2.0</v>
      </c>
      <c r="G353">
        <v>2.0</v>
      </c>
      <c r="H353" t="str">
        <f t="shared" si="2"/>
        <v>4</v>
      </c>
      <c r="I353">
        <v>126.0</v>
      </c>
      <c r="J353" t="str">
        <f t="shared" si="3"/>
        <v>400.05</v>
      </c>
      <c r="K353" t="str">
        <f t="shared" si="4"/>
        <v>1276.1595</v>
      </c>
      <c r="L353" t="str">
        <f t="shared" si="5"/>
        <v>31.9039875</v>
      </c>
      <c r="M353" t="str">
        <f t="shared" si="6"/>
        <v>319</v>
      </c>
      <c r="N353" t="s">
        <v>182</v>
      </c>
      <c r="O353" t="s">
        <v>699</v>
      </c>
    </row>
    <row r="354" ht="15.75" customHeight="1">
      <c r="A354">
        <v>356.0</v>
      </c>
      <c r="B354">
        <v>40.0</v>
      </c>
      <c r="C354">
        <v>90.0</v>
      </c>
      <c r="D354">
        <v>3.0</v>
      </c>
      <c r="E354" t="str">
        <f t="shared" si="1"/>
        <v>3.133333333</v>
      </c>
      <c r="F354">
        <v>6.0</v>
      </c>
      <c r="G354">
        <v>6.0</v>
      </c>
      <c r="H354" t="str">
        <f t="shared" si="2"/>
        <v>36</v>
      </c>
      <c r="I354">
        <v>176.0</v>
      </c>
      <c r="J354" t="str">
        <f t="shared" si="3"/>
        <v>558.8</v>
      </c>
      <c r="K354" t="str">
        <f t="shared" si="4"/>
        <v>1536.7</v>
      </c>
      <c r="L354" t="str">
        <f t="shared" si="5"/>
        <v>4.268611111</v>
      </c>
      <c r="M354" t="str">
        <f t="shared" si="6"/>
        <v>275</v>
      </c>
      <c r="N354" t="s">
        <v>182</v>
      </c>
      <c r="O354" t="s">
        <v>700</v>
      </c>
      <c r="P354" t="s">
        <v>701</v>
      </c>
    </row>
    <row r="355" ht="15.75" customHeight="1">
      <c r="A355">
        <v>357.0</v>
      </c>
      <c r="B355">
        <v>180.0</v>
      </c>
      <c r="C355">
        <v>59.5</v>
      </c>
      <c r="D355">
        <v>5.0</v>
      </c>
      <c r="E355" t="str">
        <f t="shared" si="1"/>
        <v>4</v>
      </c>
      <c r="F355">
        <v>2.0</v>
      </c>
      <c r="G355">
        <v>6.0</v>
      </c>
      <c r="H355" t="str">
        <f t="shared" si="2"/>
        <v>12</v>
      </c>
      <c r="I355">
        <v>120.0</v>
      </c>
      <c r="J355" t="str">
        <f t="shared" si="3"/>
        <v>381</v>
      </c>
      <c r="K355" t="str">
        <f t="shared" si="4"/>
        <v>1474.47</v>
      </c>
      <c r="L355" t="str">
        <f t="shared" si="5"/>
        <v>12.28725</v>
      </c>
      <c r="M355" t="str">
        <f t="shared" si="6"/>
        <v>387</v>
      </c>
      <c r="N355" t="s">
        <v>182</v>
      </c>
      <c r="O355" t="s">
        <v>702</v>
      </c>
      <c r="P355" t="s">
        <v>703</v>
      </c>
    </row>
    <row r="356" ht="15.75" customHeight="1">
      <c r="A356">
        <v>358.0</v>
      </c>
      <c r="B356">
        <v>40.0</v>
      </c>
      <c r="C356">
        <v>130.0</v>
      </c>
      <c r="D356">
        <v>3.0</v>
      </c>
      <c r="E356" t="str">
        <f t="shared" si="1"/>
        <v>3.35</v>
      </c>
      <c r="F356">
        <v>7.0</v>
      </c>
      <c r="G356">
        <v>3.0</v>
      </c>
      <c r="H356" t="str">
        <f t="shared" si="2"/>
        <v>21</v>
      </c>
      <c r="I356">
        <v>126.0</v>
      </c>
      <c r="J356" t="str">
        <f t="shared" si="3"/>
        <v>400.05</v>
      </c>
      <c r="K356" t="str">
        <f t="shared" si="4"/>
        <v>1272.159</v>
      </c>
      <c r="L356" t="str">
        <f t="shared" si="5"/>
        <v>6.0579</v>
      </c>
      <c r="M356" t="str">
        <f t="shared" si="6"/>
        <v>318</v>
      </c>
      <c r="N356" t="s">
        <v>182</v>
      </c>
      <c r="O356" t="s">
        <v>704</v>
      </c>
    </row>
    <row r="357" ht="15.75" customHeight="1">
      <c r="A357">
        <v>359.0</v>
      </c>
      <c r="B357">
        <v>130.0</v>
      </c>
      <c r="C357">
        <v>159.0</v>
      </c>
      <c r="D357">
        <v>3.0</v>
      </c>
      <c r="E357" t="str">
        <f t="shared" si="1"/>
        <v>2.925</v>
      </c>
      <c r="F357">
        <v>3.0</v>
      </c>
      <c r="G357">
        <v>2.0</v>
      </c>
      <c r="H357" t="str">
        <f t="shared" si="2"/>
        <v>6</v>
      </c>
      <c r="I357">
        <v>102.0</v>
      </c>
      <c r="J357" t="str">
        <f t="shared" si="3"/>
        <v>323.85</v>
      </c>
      <c r="K357" t="str">
        <f t="shared" si="4"/>
        <v>1347.216</v>
      </c>
      <c r="L357" t="str">
        <f t="shared" si="5"/>
        <v>22.4536</v>
      </c>
      <c r="M357" t="str">
        <f t="shared" si="6"/>
        <v>416</v>
      </c>
      <c r="N357" t="s">
        <v>182</v>
      </c>
      <c r="O357" t="s">
        <v>705</v>
      </c>
    </row>
    <row r="358" ht="15.75" customHeight="1">
      <c r="A358">
        <v>360.0</v>
      </c>
      <c r="B358">
        <v>210.0</v>
      </c>
      <c r="C358">
        <v>158.0</v>
      </c>
      <c r="D358">
        <v>0.0</v>
      </c>
      <c r="E358" t="str">
        <f t="shared" si="1"/>
        <v>3.925</v>
      </c>
      <c r="F358">
        <v>1.0</v>
      </c>
      <c r="G358">
        <v>2.0</v>
      </c>
      <c r="H358" t="str">
        <f t="shared" si="2"/>
        <v>2</v>
      </c>
      <c r="I358">
        <v>102.0</v>
      </c>
      <c r="J358" t="str">
        <f t="shared" si="3"/>
        <v>323.85</v>
      </c>
      <c r="K358" t="str">
        <f t="shared" si="4"/>
        <v>735.1395</v>
      </c>
      <c r="L358" t="str">
        <f t="shared" si="5"/>
        <v>36.756975</v>
      </c>
      <c r="M358" t="str">
        <f t="shared" si="6"/>
        <v>227</v>
      </c>
      <c r="N358" t="s">
        <v>182</v>
      </c>
      <c r="O358" t="s">
        <v>706</v>
      </c>
      <c r="P358" t="s">
        <v>707</v>
      </c>
    </row>
    <row r="359" ht="15.75" customHeight="1">
      <c r="A359">
        <v>361.0</v>
      </c>
      <c r="B359">
        <v>210.0</v>
      </c>
      <c r="C359">
        <v>158.0</v>
      </c>
      <c r="D359">
        <v>0.0</v>
      </c>
      <c r="E359" t="str">
        <f t="shared" si="1"/>
        <v>3.925</v>
      </c>
      <c r="F359">
        <v>1.0</v>
      </c>
      <c r="G359">
        <v>2.0</v>
      </c>
      <c r="H359" t="str">
        <f t="shared" si="2"/>
        <v>2</v>
      </c>
      <c r="I359">
        <v>102.0</v>
      </c>
      <c r="J359" t="str">
        <f t="shared" si="3"/>
        <v>323.85</v>
      </c>
      <c r="K359" t="str">
        <f t="shared" si="4"/>
        <v>735.1395</v>
      </c>
      <c r="L359" t="str">
        <f t="shared" si="5"/>
        <v>36.756975</v>
      </c>
      <c r="M359" t="str">
        <f t="shared" si="6"/>
        <v>227</v>
      </c>
      <c r="N359" t="s">
        <v>182</v>
      </c>
      <c r="O359" t="s">
        <v>708</v>
      </c>
      <c r="P359" t="s">
        <v>709</v>
      </c>
    </row>
    <row r="360" ht="15.75" customHeight="1">
      <c r="A360">
        <v>362.0</v>
      </c>
      <c r="B360">
        <v>135.0</v>
      </c>
      <c r="C360">
        <v>315.0</v>
      </c>
      <c r="D360">
        <v>3.0</v>
      </c>
      <c r="E360" t="str">
        <f t="shared" si="1"/>
        <v>8.85</v>
      </c>
      <c r="F360">
        <v>3.0</v>
      </c>
      <c r="G360">
        <v>1.0</v>
      </c>
      <c r="H360" t="str">
        <f t="shared" si="2"/>
        <v>3</v>
      </c>
      <c r="I360">
        <v>102.0</v>
      </c>
      <c r="J360" t="str">
        <f t="shared" si="3"/>
        <v>323.85</v>
      </c>
      <c r="K360" t="str">
        <f t="shared" si="4"/>
        <v>1395.7935</v>
      </c>
      <c r="L360" t="str">
        <f t="shared" si="5"/>
        <v>46.52645</v>
      </c>
      <c r="M360" t="str">
        <f t="shared" si="6"/>
        <v>431</v>
      </c>
      <c r="N360" t="s">
        <v>182</v>
      </c>
      <c r="O360" t="s">
        <v>710</v>
      </c>
    </row>
    <row r="361" ht="15.75" customHeight="1">
      <c r="A361">
        <v>363.0</v>
      </c>
      <c r="B361">
        <v>114.0</v>
      </c>
      <c r="C361">
        <v>106.0</v>
      </c>
      <c r="D361">
        <v>5.0</v>
      </c>
      <c r="E361" t="str">
        <f t="shared" si="1"/>
        <v>5.125</v>
      </c>
      <c r="F361">
        <v>2.0</v>
      </c>
      <c r="G361">
        <v>3.0</v>
      </c>
      <c r="H361" t="str">
        <f t="shared" si="2"/>
        <v>6</v>
      </c>
      <c r="I361">
        <v>105.0</v>
      </c>
      <c r="J361" t="str">
        <f t="shared" si="3"/>
        <v>333.375</v>
      </c>
      <c r="K361" t="str">
        <f t="shared" si="4"/>
        <v>850.10625</v>
      </c>
      <c r="L361" t="str">
        <f t="shared" si="5"/>
        <v>14.1684375</v>
      </c>
      <c r="M361" t="str">
        <f t="shared" si="6"/>
        <v>255</v>
      </c>
      <c r="N361" t="s">
        <v>182</v>
      </c>
      <c r="O361" t="s">
        <v>711</v>
      </c>
      <c r="P361" t="s">
        <v>712</v>
      </c>
    </row>
    <row r="362" ht="15.75" customHeight="1">
      <c r="A362">
        <v>364.0</v>
      </c>
      <c r="B362">
        <v>62.0</v>
      </c>
      <c r="C362">
        <v>37.0</v>
      </c>
      <c r="D362">
        <v>3.0</v>
      </c>
      <c r="E362" t="str">
        <f t="shared" si="1"/>
        <v>3.005</v>
      </c>
      <c r="F362">
        <v>6.0</v>
      </c>
      <c r="G362">
        <v>10.0</v>
      </c>
      <c r="H362" t="str">
        <f t="shared" si="2"/>
        <v>60</v>
      </c>
      <c r="I362">
        <v>126.0</v>
      </c>
      <c r="J362" t="str">
        <f t="shared" si="3"/>
        <v>400.05</v>
      </c>
      <c r="K362" t="str">
        <f t="shared" si="4"/>
        <v>1628.2035</v>
      </c>
      <c r="L362" t="str">
        <f t="shared" si="5"/>
        <v>2.7136725</v>
      </c>
      <c r="M362" t="str">
        <f t="shared" si="6"/>
        <v>407</v>
      </c>
      <c r="N362" t="s">
        <v>182</v>
      </c>
      <c r="O362" t="s">
        <v>713</v>
      </c>
      <c r="P362" t="s">
        <v>714</v>
      </c>
    </row>
    <row r="363" ht="15.75" customHeight="1">
      <c r="A363">
        <v>365.0</v>
      </c>
      <c r="B363">
        <v>139.0</v>
      </c>
      <c r="C363">
        <v>71.0</v>
      </c>
      <c r="D363">
        <v>3.0</v>
      </c>
      <c r="E363" t="str">
        <f t="shared" si="1"/>
        <v>4.670833333</v>
      </c>
      <c r="F363">
        <v>2.0</v>
      </c>
      <c r="G363">
        <v>6.0</v>
      </c>
      <c r="H363" t="str">
        <f t="shared" si="2"/>
        <v>12</v>
      </c>
      <c r="I363">
        <v>143.0</v>
      </c>
      <c r="J363" t="str">
        <f t="shared" si="3"/>
        <v>454.025</v>
      </c>
      <c r="K363" t="str">
        <f t="shared" si="4"/>
        <v>1366.61525</v>
      </c>
      <c r="L363" t="str">
        <f t="shared" si="5"/>
        <v>11.38846042</v>
      </c>
      <c r="M363" t="str">
        <f t="shared" si="6"/>
        <v>301</v>
      </c>
      <c r="N363" t="s">
        <v>182</v>
      </c>
      <c r="O363" t="s">
        <v>715</v>
      </c>
      <c r="P363" t="s">
        <v>716</v>
      </c>
    </row>
    <row r="364" ht="15.75" customHeight="1">
      <c r="A364">
        <v>366.0</v>
      </c>
      <c r="B364">
        <v>168.0</v>
      </c>
      <c r="C364">
        <v>78.0</v>
      </c>
      <c r="D364">
        <v>3.0</v>
      </c>
      <c r="E364" t="str">
        <f t="shared" si="1"/>
        <v>2.9625</v>
      </c>
      <c r="F364">
        <v>2.0</v>
      </c>
      <c r="G364">
        <v>4.0</v>
      </c>
      <c r="H364" t="str">
        <f t="shared" si="2"/>
        <v>8</v>
      </c>
      <c r="I364">
        <v>102.0</v>
      </c>
      <c r="J364" t="str">
        <f t="shared" si="3"/>
        <v>323.85</v>
      </c>
      <c r="K364" t="str">
        <f t="shared" si="4"/>
        <v>1162.6215</v>
      </c>
      <c r="L364" t="str">
        <f t="shared" si="5"/>
        <v>14.53276875</v>
      </c>
      <c r="M364" t="str">
        <f t="shared" si="6"/>
        <v>359</v>
      </c>
      <c r="N364" t="s">
        <v>182</v>
      </c>
      <c r="O364" t="s">
        <v>717</v>
      </c>
      <c r="P364" t="s">
        <v>716</v>
      </c>
    </row>
    <row r="365" ht="15.75" customHeight="1">
      <c r="A365">
        <v>367.0</v>
      </c>
      <c r="B365">
        <v>150.0</v>
      </c>
      <c r="C365">
        <v>270.0</v>
      </c>
      <c r="D365">
        <v>3.0</v>
      </c>
      <c r="E365" t="str">
        <f t="shared" si="1"/>
        <v>9.4</v>
      </c>
      <c r="F365">
        <v>2.0</v>
      </c>
      <c r="G365">
        <v>2.0</v>
      </c>
      <c r="H365" t="str">
        <f t="shared" si="2"/>
        <v>4</v>
      </c>
      <c r="I365">
        <v>176.0</v>
      </c>
      <c r="J365" t="str">
        <f t="shared" si="3"/>
        <v>558.8</v>
      </c>
      <c r="K365" t="str">
        <f t="shared" si="4"/>
        <v>1804.924</v>
      </c>
      <c r="L365" t="str">
        <f t="shared" si="5"/>
        <v>45.1231</v>
      </c>
      <c r="M365" t="str">
        <f t="shared" si="6"/>
        <v>323</v>
      </c>
      <c r="N365" t="s">
        <v>182</v>
      </c>
      <c r="O365" t="s">
        <v>718</v>
      </c>
      <c r="P365" t="s">
        <v>719</v>
      </c>
    </row>
    <row r="366" ht="15.75" customHeight="1">
      <c r="A366">
        <v>368.0</v>
      </c>
      <c r="B366">
        <v>140.0</v>
      </c>
      <c r="C366">
        <v>270.0</v>
      </c>
      <c r="D366">
        <v>3.0</v>
      </c>
      <c r="E366" t="str">
        <f t="shared" si="1"/>
        <v>9.4</v>
      </c>
      <c r="F366">
        <v>2.0</v>
      </c>
      <c r="G366">
        <v>2.0</v>
      </c>
      <c r="H366" t="str">
        <f t="shared" si="2"/>
        <v>4</v>
      </c>
      <c r="I366">
        <v>176.0</v>
      </c>
      <c r="J366" t="str">
        <f t="shared" si="3"/>
        <v>558.8</v>
      </c>
      <c r="K366" t="str">
        <f t="shared" si="4"/>
        <v>1693.164</v>
      </c>
      <c r="L366" t="str">
        <f t="shared" si="5"/>
        <v>42.3291</v>
      </c>
      <c r="M366" t="str">
        <f t="shared" si="6"/>
        <v>303</v>
      </c>
      <c r="N366" t="s">
        <v>182</v>
      </c>
      <c r="O366" t="s">
        <v>720</v>
      </c>
    </row>
    <row r="367" ht="15.75" customHeight="1">
      <c r="A367">
        <v>369.0</v>
      </c>
      <c r="B367">
        <v>43.0</v>
      </c>
      <c r="C367">
        <v>126.0</v>
      </c>
      <c r="D367">
        <v>3.0</v>
      </c>
      <c r="E367" t="str">
        <f t="shared" si="1"/>
        <v>7.35</v>
      </c>
      <c r="F367">
        <v>7.0</v>
      </c>
      <c r="G367">
        <v>3.0</v>
      </c>
      <c r="H367" t="str">
        <f t="shared" si="2"/>
        <v>21</v>
      </c>
      <c r="I367">
        <v>126.0</v>
      </c>
      <c r="J367" t="str">
        <f t="shared" si="3"/>
        <v>400.05</v>
      </c>
      <c r="K367" t="str">
        <f t="shared" si="4"/>
        <v>1356.1695</v>
      </c>
      <c r="L367" t="str">
        <f t="shared" si="5"/>
        <v>6.45795</v>
      </c>
      <c r="M367" t="str">
        <f t="shared" si="6"/>
        <v>339</v>
      </c>
      <c r="N367" t="s">
        <v>182</v>
      </c>
      <c r="O367" t="s">
        <v>721</v>
      </c>
    </row>
    <row r="368" ht="15.75" customHeight="1">
      <c r="A368">
        <v>370.0</v>
      </c>
      <c r="B368">
        <v>198.0</v>
      </c>
      <c r="C368">
        <v>40.0</v>
      </c>
      <c r="D368">
        <v>3.0</v>
      </c>
      <c r="E368" t="str">
        <f t="shared" si="1"/>
        <v>2.8625</v>
      </c>
      <c r="F368">
        <v>2.0</v>
      </c>
      <c r="G368">
        <v>8.0</v>
      </c>
      <c r="H368" t="str">
        <f t="shared" si="2"/>
        <v>16</v>
      </c>
      <c r="I368">
        <v>108.0</v>
      </c>
      <c r="J368" t="str">
        <f t="shared" si="3"/>
        <v>342.9</v>
      </c>
      <c r="K368" t="str">
        <f t="shared" si="4"/>
        <v>1436.751</v>
      </c>
      <c r="L368" t="str">
        <f t="shared" si="5"/>
        <v>8.97969375</v>
      </c>
      <c r="M368" t="str">
        <f t="shared" si="6"/>
        <v>419</v>
      </c>
      <c r="N368" t="s">
        <v>182</v>
      </c>
      <c r="O368" t="s">
        <v>722</v>
      </c>
    </row>
    <row r="369" ht="15.75" customHeight="1">
      <c r="A369">
        <v>371.0</v>
      </c>
      <c r="B369">
        <v>113.0</v>
      </c>
      <c r="C369">
        <v>80.0</v>
      </c>
      <c r="D369">
        <v>3.0</v>
      </c>
      <c r="E369" t="str">
        <f t="shared" si="1"/>
        <v>3.34375</v>
      </c>
      <c r="F369">
        <v>3.0</v>
      </c>
      <c r="G369">
        <v>4.0</v>
      </c>
      <c r="H369" t="str">
        <f t="shared" si="2"/>
        <v>12</v>
      </c>
      <c r="I369">
        <v>105.0</v>
      </c>
      <c r="J369" t="str">
        <f t="shared" si="3"/>
        <v>333.375</v>
      </c>
      <c r="K369" t="str">
        <f t="shared" si="4"/>
        <v>1216.81875</v>
      </c>
      <c r="L369" t="str">
        <f t="shared" si="5"/>
        <v>10.14015625</v>
      </c>
      <c r="M369" t="str">
        <f t="shared" si="6"/>
        <v>365</v>
      </c>
      <c r="N369" t="s">
        <v>182</v>
      </c>
      <c r="O369" t="s">
        <v>723</v>
      </c>
    </row>
    <row r="370" ht="15.75" customHeight="1">
      <c r="A370">
        <v>372.0</v>
      </c>
      <c r="B370">
        <v>197.7</v>
      </c>
      <c r="C370">
        <v>115.7</v>
      </c>
      <c r="D370">
        <v>4.0</v>
      </c>
      <c r="E370" t="str">
        <f t="shared" si="1"/>
        <v>5.74375</v>
      </c>
      <c r="F370">
        <v>2.0</v>
      </c>
      <c r="G370">
        <v>4.0</v>
      </c>
      <c r="H370" t="str">
        <f t="shared" si="2"/>
        <v>8</v>
      </c>
      <c r="I370">
        <v>153.0</v>
      </c>
      <c r="J370" t="str">
        <f t="shared" si="3"/>
        <v>485.775</v>
      </c>
      <c r="K370" t="str">
        <f t="shared" si="4"/>
        <v>2042.1981</v>
      </c>
      <c r="L370" t="str">
        <f t="shared" si="5"/>
        <v>25.52747625</v>
      </c>
      <c r="M370" t="str">
        <f t="shared" si="6"/>
        <v>420.4</v>
      </c>
      <c r="N370" t="s">
        <v>182</v>
      </c>
      <c r="O370" t="s">
        <v>724</v>
      </c>
      <c r="P370" t="s">
        <v>716</v>
      </c>
    </row>
    <row r="371" ht="15.75" customHeight="1">
      <c r="A371">
        <v>373.0</v>
      </c>
      <c r="B371">
        <v>30.0</v>
      </c>
      <c r="C371">
        <v>85.0</v>
      </c>
      <c r="D371">
        <v>3.0</v>
      </c>
      <c r="E371" t="str">
        <f t="shared" si="1"/>
        <v>5.805</v>
      </c>
      <c r="F371">
        <v>12.0</v>
      </c>
      <c r="G371">
        <v>5.0</v>
      </c>
      <c r="H371" t="str">
        <f t="shared" si="2"/>
        <v>60</v>
      </c>
      <c r="I371">
        <v>143.0</v>
      </c>
      <c r="J371" t="str">
        <f t="shared" si="3"/>
        <v>454.025</v>
      </c>
      <c r="K371" t="str">
        <f t="shared" si="4"/>
        <v>1875.12325</v>
      </c>
      <c r="L371" t="str">
        <f t="shared" si="5"/>
        <v>3.125205417</v>
      </c>
      <c r="M371" t="str">
        <f t="shared" si="6"/>
        <v>413</v>
      </c>
      <c r="N371" t="s">
        <v>182</v>
      </c>
      <c r="O371" t="s">
        <v>725</v>
      </c>
    </row>
    <row r="372" ht="15.75" customHeight="1">
      <c r="A372">
        <v>374.0</v>
      </c>
      <c r="B372">
        <v>58.0</v>
      </c>
      <c r="C372">
        <v>42.0</v>
      </c>
      <c r="D372">
        <v>3.0</v>
      </c>
      <c r="E372" t="str">
        <f t="shared" si="1"/>
        <v>3.4025</v>
      </c>
      <c r="F372">
        <v>6.0</v>
      </c>
      <c r="G372">
        <v>10.0</v>
      </c>
      <c r="H372" t="str">
        <f t="shared" si="2"/>
        <v>60</v>
      </c>
      <c r="I372">
        <v>143.0</v>
      </c>
      <c r="J372" t="str">
        <f t="shared" si="3"/>
        <v>454.025</v>
      </c>
      <c r="K372" t="str">
        <f t="shared" si="4"/>
        <v>1738.91575</v>
      </c>
      <c r="L372" t="str">
        <f t="shared" si="5"/>
        <v>2.898192917</v>
      </c>
      <c r="M372" t="str">
        <f t="shared" si="6"/>
        <v>383</v>
      </c>
      <c r="N372" t="s">
        <v>182</v>
      </c>
      <c r="O372" t="s">
        <v>726</v>
      </c>
    </row>
    <row r="373" ht="15.75" customHeight="1">
      <c r="A373">
        <v>376.0</v>
      </c>
      <c r="B373">
        <v>90.0</v>
      </c>
      <c r="C373">
        <v>325.0</v>
      </c>
      <c r="D373">
        <v>3.0</v>
      </c>
      <c r="E373" t="str">
        <f t="shared" si="1"/>
        <v>8.375</v>
      </c>
      <c r="F373">
        <v>4.0</v>
      </c>
      <c r="G373">
        <v>1.0</v>
      </c>
      <c r="H373" t="str">
        <f t="shared" si="2"/>
        <v>4</v>
      </c>
      <c r="I373">
        <v>105.0</v>
      </c>
      <c r="J373" t="str">
        <f t="shared" si="3"/>
        <v>333.375</v>
      </c>
      <c r="K373" t="str">
        <f t="shared" si="4"/>
        <v>1296.82875</v>
      </c>
      <c r="L373" t="str">
        <f t="shared" si="5"/>
        <v>32.42071875</v>
      </c>
      <c r="M373" t="str">
        <f t="shared" si="6"/>
        <v>389</v>
      </c>
      <c r="N373" t="s">
        <v>182</v>
      </c>
      <c r="O373" t="s">
        <v>727</v>
      </c>
    </row>
    <row r="374" ht="15.75" customHeight="1">
      <c r="A374">
        <v>377.0</v>
      </c>
      <c r="B374">
        <v>86.6</v>
      </c>
      <c r="C374">
        <v>56.2</v>
      </c>
      <c r="D374">
        <v>4.0</v>
      </c>
      <c r="E374" t="str">
        <f t="shared" si="1"/>
        <v>4.76</v>
      </c>
      <c r="F374">
        <v>4.0</v>
      </c>
      <c r="G374">
        <v>5.0</v>
      </c>
      <c r="H374" t="str">
        <f t="shared" si="2"/>
        <v>20</v>
      </c>
      <c r="I374">
        <v>96.0</v>
      </c>
      <c r="J374" t="str">
        <f t="shared" si="3"/>
        <v>304.8</v>
      </c>
      <c r="K374" t="str">
        <f t="shared" si="4"/>
        <v>1156.4112</v>
      </c>
      <c r="L374" t="str">
        <f t="shared" si="5"/>
        <v>5.782056</v>
      </c>
      <c r="M374" t="str">
        <f t="shared" si="6"/>
        <v>379.4</v>
      </c>
      <c r="N374" t="s">
        <v>182</v>
      </c>
      <c r="O374" t="s">
        <v>728</v>
      </c>
    </row>
    <row r="375" ht="15.75" customHeight="1">
      <c r="A375">
        <v>378.0</v>
      </c>
      <c r="B375">
        <v>14.0</v>
      </c>
      <c r="C375">
        <v>68.0</v>
      </c>
      <c r="D375">
        <v>3.0</v>
      </c>
      <c r="E375" t="str">
        <f t="shared" si="1"/>
        <v>3.4375</v>
      </c>
      <c r="F375">
        <v>12.0</v>
      </c>
      <c r="G375">
        <v>6.0</v>
      </c>
      <c r="H375" t="str">
        <f t="shared" si="2"/>
        <v>72</v>
      </c>
      <c r="I375">
        <v>135.0</v>
      </c>
      <c r="J375" t="str">
        <f t="shared" si="3"/>
        <v>428.625</v>
      </c>
      <c r="K375" t="str">
        <f t="shared" si="4"/>
        <v>947.26125</v>
      </c>
      <c r="L375" t="str">
        <f t="shared" si="5"/>
        <v>1.315640625</v>
      </c>
      <c r="M375" t="str">
        <f t="shared" si="6"/>
        <v>221</v>
      </c>
      <c r="N375" t="s">
        <v>182</v>
      </c>
      <c r="O375" t="s">
        <v>729</v>
      </c>
    </row>
    <row r="376" ht="15.75" customHeight="1">
      <c r="A376">
        <v>379.0</v>
      </c>
      <c r="B376">
        <v>175.0</v>
      </c>
      <c r="C376">
        <v>159.0</v>
      </c>
      <c r="D376">
        <v>3.0</v>
      </c>
      <c r="E376" t="str">
        <f t="shared" si="1"/>
        <v>2.925</v>
      </c>
      <c r="F376">
        <v>2.0</v>
      </c>
      <c r="G376">
        <v>2.0</v>
      </c>
      <c r="H376" t="str">
        <f t="shared" si="2"/>
        <v>4</v>
      </c>
      <c r="I376">
        <v>102.0</v>
      </c>
      <c r="J376" t="str">
        <f t="shared" si="3"/>
        <v>323.85</v>
      </c>
      <c r="K376" t="str">
        <f t="shared" si="4"/>
        <v>1207.9605</v>
      </c>
      <c r="L376" t="str">
        <f t="shared" si="5"/>
        <v>30.1990125</v>
      </c>
      <c r="M376" t="str">
        <f t="shared" si="6"/>
        <v>373</v>
      </c>
      <c r="N376" t="s">
        <v>182</v>
      </c>
      <c r="O376" t="s">
        <v>730</v>
      </c>
    </row>
    <row r="377" ht="15.75" customHeight="1">
      <c r="A377">
        <v>380.0</v>
      </c>
      <c r="B377">
        <v>97.0</v>
      </c>
      <c r="C377">
        <v>34.0</v>
      </c>
      <c r="D377">
        <v>3.0</v>
      </c>
      <c r="E377" t="str">
        <f t="shared" si="1"/>
        <v>3.041666667</v>
      </c>
      <c r="F377">
        <v>4.0</v>
      </c>
      <c r="G377">
        <v>9.0</v>
      </c>
      <c r="H377" t="str">
        <f t="shared" si="2"/>
        <v>36</v>
      </c>
      <c r="I377">
        <v>105.0</v>
      </c>
      <c r="J377" t="str">
        <f t="shared" si="3"/>
        <v>333.375</v>
      </c>
      <c r="K377" t="str">
        <f t="shared" si="4"/>
        <v>1390.17375</v>
      </c>
      <c r="L377" t="str">
        <f t="shared" si="5"/>
        <v>3.86159375</v>
      </c>
      <c r="M377" t="str">
        <f t="shared" si="6"/>
        <v>417</v>
      </c>
      <c r="N377" t="s">
        <v>182</v>
      </c>
      <c r="O377" t="s">
        <v>731</v>
      </c>
    </row>
    <row r="378" ht="15.75" customHeight="1">
      <c r="A378">
        <v>381.0</v>
      </c>
      <c r="B378">
        <v>119.0</v>
      </c>
      <c r="C378">
        <v>338.0</v>
      </c>
      <c r="D378">
        <v>3.0</v>
      </c>
      <c r="E378" t="str">
        <f t="shared" si="1"/>
        <v>4.9</v>
      </c>
      <c r="F378">
        <v>3.0</v>
      </c>
      <c r="G378">
        <v>1.0</v>
      </c>
      <c r="H378" t="str">
        <f t="shared" si="2"/>
        <v>3</v>
      </c>
      <c r="I378">
        <v>108.0</v>
      </c>
      <c r="J378" t="str">
        <f t="shared" si="3"/>
        <v>342.9</v>
      </c>
      <c r="K378" t="str">
        <f t="shared" si="4"/>
        <v>1313.307</v>
      </c>
      <c r="L378" t="str">
        <f t="shared" si="5"/>
        <v>43.7769</v>
      </c>
      <c r="M378" t="str">
        <f t="shared" si="6"/>
        <v>383</v>
      </c>
      <c r="N378" t="s">
        <v>182</v>
      </c>
      <c r="O378" t="s">
        <v>732</v>
      </c>
      <c r="P378" t="s">
        <v>733</v>
      </c>
    </row>
    <row r="379" ht="15.75" customHeight="1">
      <c r="A379">
        <v>382.0</v>
      </c>
      <c r="B379">
        <v>115.0</v>
      </c>
      <c r="C379">
        <v>140.0</v>
      </c>
      <c r="D379">
        <v>3.0</v>
      </c>
      <c r="E379" t="str">
        <f t="shared" si="1"/>
        <v>2.875</v>
      </c>
      <c r="F379">
        <v>2.0</v>
      </c>
      <c r="G379">
        <v>3.0</v>
      </c>
      <c r="H379" t="str">
        <f t="shared" si="2"/>
        <v>6</v>
      </c>
      <c r="I379">
        <v>135.0</v>
      </c>
      <c r="J379" t="str">
        <f t="shared" si="3"/>
        <v>428.625</v>
      </c>
      <c r="K379" t="str">
        <f t="shared" si="4"/>
        <v>1084.42125</v>
      </c>
      <c r="L379" t="str">
        <f t="shared" si="5"/>
        <v>18.0736875</v>
      </c>
      <c r="M379" t="str">
        <f t="shared" si="6"/>
        <v>253</v>
      </c>
      <c r="N379" t="s">
        <v>182</v>
      </c>
      <c r="O379" t="s">
        <v>734</v>
      </c>
    </row>
    <row r="380" ht="15.75" customHeight="1">
      <c r="A380">
        <v>383.0</v>
      </c>
      <c r="B380">
        <v>115.0</v>
      </c>
      <c r="C380">
        <v>73.0</v>
      </c>
      <c r="D380">
        <v>3.0</v>
      </c>
      <c r="E380" t="str">
        <f t="shared" si="1"/>
        <v>3.2</v>
      </c>
      <c r="F380">
        <v>2.0</v>
      </c>
      <c r="G380">
        <v>4.0</v>
      </c>
      <c r="H380" t="str">
        <f t="shared" si="2"/>
        <v>8</v>
      </c>
      <c r="I380">
        <v>96.0</v>
      </c>
      <c r="J380" t="str">
        <f t="shared" si="3"/>
        <v>304.8</v>
      </c>
      <c r="K380" t="str">
        <f t="shared" si="4"/>
        <v>771.144</v>
      </c>
      <c r="L380" t="str">
        <f t="shared" si="5"/>
        <v>9.6393</v>
      </c>
      <c r="M380" t="str">
        <f t="shared" si="6"/>
        <v>253</v>
      </c>
      <c r="N380" t="s">
        <v>182</v>
      </c>
      <c r="O380" t="s">
        <v>735</v>
      </c>
    </row>
    <row r="381" ht="15.75" customHeight="1">
      <c r="A381">
        <v>384.0</v>
      </c>
      <c r="B381">
        <v>120.0</v>
      </c>
      <c r="C381">
        <v>135.0</v>
      </c>
      <c r="D381">
        <v>3.0</v>
      </c>
      <c r="E381" t="str">
        <f t="shared" si="1"/>
        <v>4.7</v>
      </c>
      <c r="F381">
        <v>2.0</v>
      </c>
      <c r="G381">
        <v>4.0</v>
      </c>
      <c r="H381" t="str">
        <f t="shared" si="2"/>
        <v>8</v>
      </c>
      <c r="I381">
        <v>176.0</v>
      </c>
      <c r="J381" t="str">
        <f t="shared" si="3"/>
        <v>558.8</v>
      </c>
      <c r="K381" t="str">
        <f t="shared" si="4"/>
        <v>1469.644</v>
      </c>
      <c r="L381" t="str">
        <f t="shared" si="5"/>
        <v>18.37055</v>
      </c>
      <c r="M381" t="str">
        <f t="shared" si="6"/>
        <v>263</v>
      </c>
      <c r="N381" t="s">
        <v>182</v>
      </c>
      <c r="O381" t="s">
        <v>736</v>
      </c>
    </row>
    <row r="382" ht="15.75" customHeight="1">
      <c r="A382">
        <v>385.0</v>
      </c>
      <c r="B382">
        <v>210.0</v>
      </c>
      <c r="C382">
        <v>43.0</v>
      </c>
      <c r="D382">
        <v>3.0</v>
      </c>
      <c r="E382" t="str">
        <f t="shared" si="1"/>
        <v>3.264285714</v>
      </c>
      <c r="F382">
        <v>1.0</v>
      </c>
      <c r="G382">
        <v>7.0</v>
      </c>
      <c r="H382" t="str">
        <f t="shared" si="2"/>
        <v>7</v>
      </c>
      <c r="I382">
        <v>102.0</v>
      </c>
      <c r="J382" t="str">
        <f t="shared" si="3"/>
        <v>323.85</v>
      </c>
      <c r="K382" t="str">
        <f t="shared" si="4"/>
        <v>744.855</v>
      </c>
      <c r="L382" t="str">
        <f t="shared" si="5"/>
        <v>10.64078571</v>
      </c>
      <c r="M382" t="str">
        <f t="shared" si="6"/>
        <v>230</v>
      </c>
      <c r="N382" t="s">
        <v>182</v>
      </c>
      <c r="O382" t="s">
        <v>737</v>
      </c>
      <c r="P382" t="s">
        <v>738</v>
      </c>
    </row>
    <row r="383" ht="15.75" customHeight="1">
      <c r="A383">
        <v>386.0</v>
      </c>
      <c r="B383">
        <v>160.0</v>
      </c>
      <c r="C383">
        <v>397.0</v>
      </c>
      <c r="D383">
        <v>3.0</v>
      </c>
      <c r="E383" t="str">
        <f t="shared" si="1"/>
        <v>3.05</v>
      </c>
      <c r="F383">
        <v>2.0</v>
      </c>
      <c r="G383">
        <v>1.0</v>
      </c>
      <c r="H383" t="str">
        <f t="shared" si="2"/>
        <v>2</v>
      </c>
      <c r="I383">
        <v>126.0</v>
      </c>
      <c r="J383" t="str">
        <f t="shared" si="3"/>
        <v>400.05</v>
      </c>
      <c r="K383" t="str">
        <f t="shared" si="4"/>
        <v>1372.1715</v>
      </c>
      <c r="L383" t="str">
        <f t="shared" si="5"/>
        <v>68.608575</v>
      </c>
      <c r="M383" t="str">
        <f t="shared" si="6"/>
        <v>343</v>
      </c>
      <c r="N383" t="s">
        <v>182</v>
      </c>
      <c r="O383" t="s">
        <v>739</v>
      </c>
    </row>
    <row r="384" ht="15.75" customHeight="1">
      <c r="A384">
        <v>387.0</v>
      </c>
      <c r="B384">
        <v>85.0</v>
      </c>
      <c r="C384">
        <v>197.0</v>
      </c>
      <c r="D384">
        <v>3.0</v>
      </c>
      <c r="E384" t="str">
        <f t="shared" si="1"/>
        <v>3.025</v>
      </c>
      <c r="F384">
        <v>2.0</v>
      </c>
      <c r="G384">
        <v>2.0</v>
      </c>
      <c r="H384" t="str">
        <f t="shared" si="2"/>
        <v>4</v>
      </c>
      <c r="I384">
        <v>126.0</v>
      </c>
      <c r="J384" t="str">
        <f t="shared" si="3"/>
        <v>400.05</v>
      </c>
      <c r="K384" t="str">
        <f t="shared" si="4"/>
        <v>772.0965</v>
      </c>
      <c r="L384" t="str">
        <f t="shared" si="5"/>
        <v>19.3024125</v>
      </c>
      <c r="M384" t="str">
        <f t="shared" si="6"/>
        <v>193</v>
      </c>
      <c r="N384" t="s">
        <v>182</v>
      </c>
      <c r="O384" t="s">
        <v>740</v>
      </c>
    </row>
    <row r="385" ht="15.75" customHeight="1">
      <c r="A385">
        <v>388.0</v>
      </c>
      <c r="B385">
        <v>65.0</v>
      </c>
      <c r="C385">
        <v>135.0</v>
      </c>
      <c r="D385">
        <v>3.0</v>
      </c>
      <c r="E385" t="str">
        <f t="shared" si="1"/>
        <v>4.7</v>
      </c>
      <c r="F385">
        <v>4.0</v>
      </c>
      <c r="G385">
        <v>4.0</v>
      </c>
      <c r="H385" t="str">
        <f t="shared" si="2"/>
        <v>16</v>
      </c>
      <c r="I385">
        <v>176.0</v>
      </c>
      <c r="J385" t="str">
        <f t="shared" si="3"/>
        <v>558.8</v>
      </c>
      <c r="K385" t="str">
        <f t="shared" si="4"/>
        <v>1614.932</v>
      </c>
      <c r="L385" t="str">
        <f t="shared" si="5"/>
        <v>10.093325</v>
      </c>
      <c r="M385" t="str">
        <f t="shared" si="6"/>
        <v>289</v>
      </c>
      <c r="N385" t="s">
        <v>182</v>
      </c>
      <c r="O385" t="s">
        <v>741</v>
      </c>
      <c r="P385" t="s">
        <v>370</v>
      </c>
    </row>
    <row r="386" ht="15.75" customHeight="1">
      <c r="A386">
        <v>389.0</v>
      </c>
      <c r="B386">
        <v>35.0</v>
      </c>
      <c r="C386">
        <v>98.0</v>
      </c>
      <c r="D386">
        <v>3.0</v>
      </c>
      <c r="E386" t="str">
        <f t="shared" si="1"/>
        <v>3.6</v>
      </c>
      <c r="F386">
        <v>10.0</v>
      </c>
      <c r="G386">
        <v>3.0</v>
      </c>
      <c r="H386" t="str">
        <f t="shared" si="2"/>
        <v>30</v>
      </c>
      <c r="I386">
        <v>96.0</v>
      </c>
      <c r="J386" t="str">
        <f t="shared" si="3"/>
        <v>304.8</v>
      </c>
      <c r="K386" t="str">
        <f t="shared" si="4"/>
        <v>1210.056</v>
      </c>
      <c r="L386" t="str">
        <f t="shared" si="5"/>
        <v>4.03352</v>
      </c>
      <c r="M386" t="str">
        <f t="shared" si="6"/>
        <v>397</v>
      </c>
      <c r="N386" t="s">
        <v>182</v>
      </c>
      <c r="O386" t="s">
        <v>742</v>
      </c>
    </row>
    <row r="387" ht="15.75" customHeight="1">
      <c r="A387">
        <v>390.0</v>
      </c>
      <c r="B387">
        <v>107.0</v>
      </c>
      <c r="C387">
        <v>72.0</v>
      </c>
      <c r="D387">
        <v>5.0</v>
      </c>
      <c r="E387" t="str">
        <f t="shared" si="1"/>
        <v>4.2</v>
      </c>
      <c r="F387">
        <v>2.0</v>
      </c>
      <c r="G387">
        <v>5.0</v>
      </c>
      <c r="H387" t="str">
        <f t="shared" si="2"/>
        <v>10</v>
      </c>
      <c r="I387">
        <v>120.0</v>
      </c>
      <c r="J387" t="str">
        <f t="shared" si="3"/>
        <v>381</v>
      </c>
      <c r="K387" t="str">
        <f t="shared" si="4"/>
        <v>918.21</v>
      </c>
      <c r="L387" t="str">
        <f t="shared" si="5"/>
        <v>9.1821</v>
      </c>
      <c r="M387" t="str">
        <f t="shared" si="6"/>
        <v>241</v>
      </c>
      <c r="N387" t="s">
        <v>182</v>
      </c>
      <c r="O387" t="s">
        <v>743</v>
      </c>
      <c r="P387" t="s">
        <v>744</v>
      </c>
    </row>
    <row r="388" ht="15.75" customHeight="1">
      <c r="A388">
        <v>391.0</v>
      </c>
      <c r="B388">
        <v>112.0</v>
      </c>
      <c r="C388">
        <v>182.0</v>
      </c>
      <c r="D388">
        <v>4.0</v>
      </c>
      <c r="E388" t="str">
        <f t="shared" si="1"/>
        <v>4.266666667</v>
      </c>
      <c r="F388">
        <v>3.0</v>
      </c>
      <c r="G388">
        <v>3.0</v>
      </c>
      <c r="H388" t="str">
        <f t="shared" si="2"/>
        <v>9</v>
      </c>
      <c r="I388">
        <v>176.0</v>
      </c>
      <c r="J388" t="str">
        <f t="shared" si="3"/>
        <v>558.8</v>
      </c>
      <c r="K388" t="str">
        <f t="shared" si="4"/>
        <v>2039.62</v>
      </c>
      <c r="L388" t="str">
        <f t="shared" si="5"/>
        <v>22.66244444</v>
      </c>
      <c r="M388" t="str">
        <f t="shared" si="6"/>
        <v>365</v>
      </c>
      <c r="N388" t="s">
        <v>187</v>
      </c>
      <c r="O388" t="s">
        <v>745</v>
      </c>
      <c r="P388" t="s">
        <v>746</v>
      </c>
    </row>
    <row r="389" ht="15.75" customHeight="1">
      <c r="A389">
        <v>392.0</v>
      </c>
      <c r="B389">
        <v>53.5</v>
      </c>
      <c r="C389">
        <v>123.5</v>
      </c>
      <c r="D389">
        <v>4.0</v>
      </c>
      <c r="E389" t="str">
        <f t="shared" si="1"/>
        <v>3.5</v>
      </c>
      <c r="F389">
        <v>6.0</v>
      </c>
      <c r="G389">
        <v>3.0</v>
      </c>
      <c r="H389" t="str">
        <f t="shared" si="2"/>
        <v>18</v>
      </c>
      <c r="I389">
        <v>120.0</v>
      </c>
      <c r="J389" t="str">
        <f t="shared" si="3"/>
        <v>381</v>
      </c>
      <c r="K389" t="str">
        <f t="shared" si="4"/>
        <v>1379.22</v>
      </c>
      <c r="L389" t="str">
        <f t="shared" si="5"/>
        <v>7.662333333</v>
      </c>
      <c r="M389" t="str">
        <f t="shared" si="6"/>
        <v>362</v>
      </c>
      <c r="N389" t="s">
        <v>187</v>
      </c>
      <c r="O389" t="s">
        <v>747</v>
      </c>
      <c r="P389" t="s">
        <v>748</v>
      </c>
    </row>
    <row r="390" ht="15.75" customHeight="1">
      <c r="A390">
        <v>393.0</v>
      </c>
      <c r="B390">
        <v>160.0</v>
      </c>
      <c r="C390">
        <v>115.5</v>
      </c>
      <c r="D390">
        <v>5.0</v>
      </c>
      <c r="E390" t="str">
        <f t="shared" si="1"/>
        <v>5.94375</v>
      </c>
      <c r="F390">
        <v>2.0</v>
      </c>
      <c r="G390">
        <v>4.0</v>
      </c>
      <c r="H390" t="str">
        <f t="shared" si="2"/>
        <v>8</v>
      </c>
      <c r="I390">
        <v>153.0</v>
      </c>
      <c r="J390" t="str">
        <f t="shared" si="3"/>
        <v>485.775</v>
      </c>
      <c r="K390" t="str">
        <f t="shared" si="4"/>
        <v>1685.63925</v>
      </c>
      <c r="L390" t="str">
        <f t="shared" si="5"/>
        <v>21.07049063</v>
      </c>
      <c r="M390" t="str">
        <f t="shared" si="6"/>
        <v>347</v>
      </c>
      <c r="N390" t="s">
        <v>187</v>
      </c>
      <c r="O390" t="s">
        <v>749</v>
      </c>
      <c r="P390" t="s">
        <v>750</v>
      </c>
    </row>
    <row r="391" ht="15.75" customHeight="1">
      <c r="A391">
        <v>394.0</v>
      </c>
      <c r="B391">
        <v>155.0</v>
      </c>
      <c r="C391">
        <v>154.5</v>
      </c>
      <c r="D391">
        <v>5.0</v>
      </c>
      <c r="E391" t="str">
        <f t="shared" si="1"/>
        <v>7.425</v>
      </c>
      <c r="F391">
        <v>2.0</v>
      </c>
      <c r="G391">
        <v>2.0</v>
      </c>
      <c r="H391" t="str">
        <f t="shared" si="2"/>
        <v>4</v>
      </c>
      <c r="I391">
        <v>102.0</v>
      </c>
      <c r="J391" t="str">
        <f t="shared" si="3"/>
        <v>323.85</v>
      </c>
      <c r="K391" t="str">
        <f t="shared" si="4"/>
        <v>1091.3745</v>
      </c>
      <c r="L391" t="str">
        <f t="shared" si="5"/>
        <v>27.2843625</v>
      </c>
      <c r="M391" t="str">
        <f t="shared" si="6"/>
        <v>337</v>
      </c>
      <c r="N391" t="s">
        <v>182</v>
      </c>
      <c r="O391" t="s">
        <v>751</v>
      </c>
      <c r="P391" t="s">
        <v>752</v>
      </c>
    </row>
    <row r="392" ht="15.75" customHeight="1">
      <c r="A392">
        <v>395.0</v>
      </c>
      <c r="B392">
        <v>40.0</v>
      </c>
      <c r="C392">
        <v>88.0</v>
      </c>
      <c r="D392">
        <v>3.0</v>
      </c>
      <c r="E392" t="str">
        <f t="shared" si="1"/>
        <v>2.805</v>
      </c>
      <c r="F392">
        <v>8.0</v>
      </c>
      <c r="G392">
        <v>5.0</v>
      </c>
      <c r="H392" t="str">
        <f t="shared" si="2"/>
        <v>40</v>
      </c>
      <c r="I392">
        <v>143.0</v>
      </c>
      <c r="J392" t="str">
        <f t="shared" si="3"/>
        <v>454.025</v>
      </c>
      <c r="K392" t="str">
        <f t="shared" si="4"/>
        <v>1639.03025</v>
      </c>
      <c r="L392" t="str">
        <f t="shared" si="5"/>
        <v>4.097575625</v>
      </c>
      <c r="M392" t="str">
        <f t="shared" si="6"/>
        <v>361</v>
      </c>
      <c r="N392" t="s">
        <v>182</v>
      </c>
      <c r="O392" t="s">
        <v>753</v>
      </c>
    </row>
    <row r="393" ht="15.75" customHeight="1">
      <c r="A393">
        <v>396.0</v>
      </c>
      <c r="B393">
        <v>60.0</v>
      </c>
      <c r="C393">
        <v>178.0</v>
      </c>
      <c r="D393">
        <v>3.0</v>
      </c>
      <c r="E393" t="str">
        <f t="shared" si="1"/>
        <v>8.266666667</v>
      </c>
      <c r="F393">
        <v>4.0</v>
      </c>
      <c r="G393">
        <v>3.0</v>
      </c>
      <c r="H393" t="str">
        <f t="shared" si="2"/>
        <v>12</v>
      </c>
      <c r="I393">
        <v>176.0</v>
      </c>
      <c r="J393" t="str">
        <f t="shared" si="3"/>
        <v>558.8</v>
      </c>
      <c r="K393" t="str">
        <f t="shared" si="4"/>
        <v>1503.172</v>
      </c>
      <c r="L393" t="str">
        <f t="shared" si="5"/>
        <v>12.52643333</v>
      </c>
      <c r="M393" t="str">
        <f t="shared" si="6"/>
        <v>269</v>
      </c>
      <c r="N393" t="s">
        <v>182</v>
      </c>
      <c r="O393" t="s">
        <v>754</v>
      </c>
    </row>
    <row r="394" ht="15.75" customHeight="1">
      <c r="A394">
        <v>397.0</v>
      </c>
      <c r="B394">
        <v>60.0</v>
      </c>
      <c r="C394">
        <v>197.0</v>
      </c>
      <c r="D394">
        <v>3.0</v>
      </c>
      <c r="E394" t="str">
        <f t="shared" si="1"/>
        <v>3.025</v>
      </c>
      <c r="F394">
        <v>4.0</v>
      </c>
      <c r="G394">
        <v>2.0</v>
      </c>
      <c r="H394" t="str">
        <f t="shared" si="2"/>
        <v>8</v>
      </c>
      <c r="I394">
        <v>126.0</v>
      </c>
      <c r="J394" t="str">
        <f t="shared" si="3"/>
        <v>400.05</v>
      </c>
      <c r="K394" t="str">
        <f t="shared" si="4"/>
        <v>1076.1345</v>
      </c>
      <c r="L394" t="str">
        <f t="shared" si="5"/>
        <v>13.45168125</v>
      </c>
      <c r="M394" t="str">
        <f t="shared" si="6"/>
        <v>269</v>
      </c>
      <c r="N394" t="s">
        <v>182</v>
      </c>
      <c r="O394" t="s">
        <v>755</v>
      </c>
    </row>
    <row r="395" ht="15.75" customHeight="1">
      <c r="A395">
        <v>398.0</v>
      </c>
      <c r="B395">
        <v>24.0</v>
      </c>
      <c r="C395">
        <v>168.0</v>
      </c>
      <c r="D395">
        <v>4.0</v>
      </c>
      <c r="E395" t="str">
        <f t="shared" si="1"/>
        <v>3.45</v>
      </c>
      <c r="F395">
        <v>9.0</v>
      </c>
      <c r="G395">
        <v>2.0</v>
      </c>
      <c r="H395" t="str">
        <f t="shared" si="2"/>
        <v>18</v>
      </c>
      <c r="I395">
        <v>108.0</v>
      </c>
      <c r="J395" t="str">
        <f t="shared" si="3"/>
        <v>342.9</v>
      </c>
      <c r="K395" t="str">
        <f t="shared" si="4"/>
        <v>922.401</v>
      </c>
      <c r="L395" t="str">
        <f t="shared" si="5"/>
        <v>5.12445</v>
      </c>
      <c r="M395" t="str">
        <f t="shared" si="6"/>
        <v>269</v>
      </c>
      <c r="N395" t="s">
        <v>182</v>
      </c>
      <c r="O395" t="s">
        <v>756</v>
      </c>
      <c r="P395" t="s">
        <v>757</v>
      </c>
    </row>
    <row r="396" ht="15.75" customHeight="1">
      <c r="A396">
        <v>399.0</v>
      </c>
      <c r="B396">
        <v>51.0</v>
      </c>
      <c r="C396">
        <v>317.0</v>
      </c>
      <c r="D396">
        <v>3.0</v>
      </c>
      <c r="E396" t="str">
        <f t="shared" si="1"/>
        <v>6.85</v>
      </c>
      <c r="F396">
        <v>6.0</v>
      </c>
      <c r="G396">
        <v>1.0</v>
      </c>
      <c r="H396" t="str">
        <f t="shared" si="2"/>
        <v>6</v>
      </c>
      <c r="I396">
        <v>102.0</v>
      </c>
      <c r="J396" t="str">
        <f t="shared" si="3"/>
        <v>323.85</v>
      </c>
      <c r="K396" t="str">
        <f t="shared" si="4"/>
        <v>1104.3285</v>
      </c>
      <c r="L396" t="str">
        <f t="shared" si="5"/>
        <v>18.405475</v>
      </c>
      <c r="M396" t="str">
        <f t="shared" si="6"/>
        <v>341</v>
      </c>
      <c r="N396" t="s">
        <v>182</v>
      </c>
      <c r="O396" t="s">
        <v>758</v>
      </c>
      <c r="P396" t="s">
        <v>759</v>
      </c>
    </row>
    <row r="397" ht="15.75" customHeight="1">
      <c r="A397">
        <v>400.0</v>
      </c>
      <c r="B397">
        <v>43.5</v>
      </c>
      <c r="C397">
        <v>45.0</v>
      </c>
      <c r="D397">
        <v>3.0</v>
      </c>
      <c r="E397" t="str">
        <f t="shared" si="1"/>
        <v>3.985714286</v>
      </c>
      <c r="F397">
        <v>8.0</v>
      </c>
      <c r="G397">
        <v>7.0</v>
      </c>
      <c r="H397" t="str">
        <f t="shared" si="2"/>
        <v>56</v>
      </c>
      <c r="I397">
        <v>108.0</v>
      </c>
      <c r="J397" t="str">
        <f t="shared" si="3"/>
        <v>342.9</v>
      </c>
      <c r="K397" t="str">
        <f t="shared" si="4"/>
        <v>1333.881</v>
      </c>
      <c r="L397" t="str">
        <f t="shared" si="5"/>
        <v>2.381930357</v>
      </c>
      <c r="M397" t="str">
        <f t="shared" si="6"/>
        <v>389</v>
      </c>
      <c r="N397" t="s">
        <v>182</v>
      </c>
      <c r="O397" t="s">
        <v>760</v>
      </c>
      <c r="P397" t="s">
        <v>761</v>
      </c>
    </row>
    <row r="398" ht="15.75" customHeight="1">
      <c r="A398">
        <v>401.0</v>
      </c>
      <c r="B398">
        <v>90.0</v>
      </c>
      <c r="C398">
        <v>197.0</v>
      </c>
      <c r="D398">
        <v>3.0</v>
      </c>
      <c r="E398" t="str">
        <f t="shared" si="1"/>
        <v>3.025</v>
      </c>
      <c r="F398">
        <v>4.0</v>
      </c>
      <c r="G398">
        <v>2.0</v>
      </c>
      <c r="H398" t="str">
        <f t="shared" si="2"/>
        <v>8</v>
      </c>
      <c r="I398">
        <v>126.0</v>
      </c>
      <c r="J398" t="str">
        <f t="shared" si="3"/>
        <v>400.05</v>
      </c>
      <c r="K398" t="str">
        <f t="shared" si="4"/>
        <v>1556.1945</v>
      </c>
      <c r="L398" t="str">
        <f t="shared" si="5"/>
        <v>19.45243125</v>
      </c>
      <c r="M398" t="str">
        <f t="shared" si="6"/>
        <v>389</v>
      </c>
      <c r="N398" t="s">
        <v>182</v>
      </c>
      <c r="O398" t="s">
        <v>762</v>
      </c>
    </row>
    <row r="399" ht="15.75" customHeight="1">
      <c r="A399">
        <v>402.0</v>
      </c>
      <c r="B399">
        <v>85.0</v>
      </c>
      <c r="C399">
        <v>149.0</v>
      </c>
      <c r="D399">
        <v>3.0</v>
      </c>
      <c r="E399" t="str">
        <f t="shared" si="1"/>
        <v>3.4</v>
      </c>
      <c r="F399">
        <v>4.0</v>
      </c>
      <c r="G399">
        <v>2.0</v>
      </c>
      <c r="H399" t="str">
        <f t="shared" si="2"/>
        <v>8</v>
      </c>
      <c r="I399">
        <v>96.0</v>
      </c>
      <c r="J399" t="str">
        <f t="shared" si="3"/>
        <v>304.8</v>
      </c>
      <c r="K399" t="str">
        <f t="shared" si="4"/>
        <v>1124.712</v>
      </c>
      <c r="L399" t="str">
        <f t="shared" si="5"/>
        <v>14.0589</v>
      </c>
      <c r="M399" t="str">
        <f t="shared" si="6"/>
        <v>369</v>
      </c>
      <c r="N399" t="s">
        <v>182</v>
      </c>
      <c r="O399" t="s">
        <v>763</v>
      </c>
    </row>
    <row r="400" ht="15.75" customHeight="1">
      <c r="A400">
        <v>403.0</v>
      </c>
      <c r="B400">
        <v>105.6</v>
      </c>
      <c r="C400">
        <v>146.6</v>
      </c>
      <c r="D400">
        <v>5.0</v>
      </c>
      <c r="E400" t="str">
        <f t="shared" si="1"/>
        <v>4.741666667</v>
      </c>
      <c r="F400">
        <v>2.0</v>
      </c>
      <c r="G400">
        <v>3.0</v>
      </c>
      <c r="H400" t="str">
        <f t="shared" si="2"/>
        <v>6</v>
      </c>
      <c r="I400">
        <v>143.0</v>
      </c>
      <c r="J400" t="str">
        <f t="shared" si="3"/>
        <v>454.025</v>
      </c>
      <c r="K400" t="str">
        <f t="shared" si="4"/>
        <v>1081.48755</v>
      </c>
      <c r="L400" t="str">
        <f t="shared" si="5"/>
        <v>18.0247925</v>
      </c>
      <c r="M400" t="str">
        <f t="shared" si="6"/>
        <v>238.2</v>
      </c>
      <c r="N400" t="s">
        <v>182</v>
      </c>
      <c r="O400" t="s">
        <v>764</v>
      </c>
      <c r="P400" t="s">
        <v>765</v>
      </c>
    </row>
    <row r="401" ht="15.75" customHeight="1">
      <c r="A401">
        <v>404.0</v>
      </c>
      <c r="B401">
        <v>31.0</v>
      </c>
      <c r="C401">
        <v>197.0</v>
      </c>
      <c r="D401">
        <v>4.0</v>
      </c>
      <c r="E401" t="str">
        <f t="shared" si="1"/>
        <v>3.025</v>
      </c>
      <c r="F401">
        <v>6.0</v>
      </c>
      <c r="G401">
        <v>2.0</v>
      </c>
      <c r="H401" t="str">
        <f t="shared" si="2"/>
        <v>12</v>
      </c>
      <c r="I401">
        <v>126.0</v>
      </c>
      <c r="J401" t="str">
        <f t="shared" si="3"/>
        <v>400.05</v>
      </c>
      <c r="K401" t="str">
        <f t="shared" si="4"/>
        <v>908.1135</v>
      </c>
      <c r="L401" t="str">
        <f t="shared" si="5"/>
        <v>7.5676125</v>
      </c>
      <c r="M401" t="str">
        <f t="shared" si="6"/>
        <v>227</v>
      </c>
      <c r="N401" t="s">
        <v>182</v>
      </c>
      <c r="O401" t="s">
        <v>766</v>
      </c>
      <c r="P401" t="s">
        <v>767</v>
      </c>
    </row>
    <row r="402" ht="15.75" customHeight="1">
      <c r="A402">
        <v>405.0</v>
      </c>
      <c r="B402">
        <v>55.0</v>
      </c>
      <c r="C402">
        <v>57.0</v>
      </c>
      <c r="D402">
        <v>4.0</v>
      </c>
      <c r="E402" t="str">
        <f t="shared" si="1"/>
        <v>3.96</v>
      </c>
      <c r="F402">
        <v>4.0</v>
      </c>
      <c r="G402">
        <v>5.0</v>
      </c>
      <c r="H402" t="str">
        <f t="shared" si="2"/>
        <v>20</v>
      </c>
      <c r="I402">
        <v>96.0</v>
      </c>
      <c r="J402" t="str">
        <f t="shared" si="3"/>
        <v>304.8</v>
      </c>
      <c r="K402" t="str">
        <f t="shared" si="4"/>
        <v>771.144</v>
      </c>
      <c r="L402" t="str">
        <f t="shared" si="5"/>
        <v>3.85572</v>
      </c>
      <c r="M402" t="str">
        <f t="shared" si="6"/>
        <v>253</v>
      </c>
      <c r="N402" t="s">
        <v>182</v>
      </c>
      <c r="O402" t="s">
        <v>768</v>
      </c>
      <c r="P402" t="s">
        <v>769</v>
      </c>
    </row>
    <row r="403" ht="15.75" customHeight="1">
      <c r="A403">
        <v>406.0</v>
      </c>
      <c r="B403">
        <v>110.0</v>
      </c>
      <c r="C403">
        <v>40.0</v>
      </c>
      <c r="D403">
        <v>3.0</v>
      </c>
      <c r="E403" t="str">
        <f t="shared" si="1"/>
        <v>2.8625</v>
      </c>
      <c r="F403">
        <v>2.0</v>
      </c>
      <c r="G403">
        <v>8.0</v>
      </c>
      <c r="H403" t="str">
        <f t="shared" si="2"/>
        <v>16</v>
      </c>
      <c r="I403">
        <v>108.0</v>
      </c>
      <c r="J403" t="str">
        <f t="shared" si="3"/>
        <v>342.9</v>
      </c>
      <c r="K403" t="str">
        <f t="shared" si="4"/>
        <v>833.247</v>
      </c>
      <c r="L403" t="str">
        <f t="shared" si="5"/>
        <v>5.20779375</v>
      </c>
      <c r="M403" t="str">
        <f t="shared" si="6"/>
        <v>243</v>
      </c>
      <c r="N403" t="s">
        <v>182</v>
      </c>
      <c r="O403" t="s">
        <v>770</v>
      </c>
      <c r="P403" t="s">
        <v>771</v>
      </c>
    </row>
    <row r="404" ht="15.75" customHeight="1">
      <c r="A404">
        <v>407.0</v>
      </c>
      <c r="B404">
        <v>63.0</v>
      </c>
      <c r="C404">
        <v>159.0</v>
      </c>
      <c r="D404">
        <v>3.0</v>
      </c>
      <c r="E404" t="str">
        <f t="shared" si="1"/>
        <v>2.925</v>
      </c>
      <c r="F404">
        <v>4.0</v>
      </c>
      <c r="G404">
        <v>2.0</v>
      </c>
      <c r="H404" t="str">
        <f t="shared" si="2"/>
        <v>8</v>
      </c>
      <c r="I404">
        <v>102.0</v>
      </c>
      <c r="J404" t="str">
        <f t="shared" si="3"/>
        <v>323.85</v>
      </c>
      <c r="K404" t="str">
        <f t="shared" si="4"/>
        <v>910.0185</v>
      </c>
      <c r="L404" t="str">
        <f t="shared" si="5"/>
        <v>11.37523125</v>
      </c>
      <c r="M404" t="str">
        <f t="shared" si="6"/>
        <v>281</v>
      </c>
      <c r="N404" t="s">
        <v>182</v>
      </c>
      <c r="O404" t="s">
        <v>772</v>
      </c>
      <c r="P404" t="s">
        <v>773</v>
      </c>
    </row>
    <row r="405" ht="15.75" customHeight="1">
      <c r="A405">
        <v>408.0</v>
      </c>
      <c r="B405">
        <v>28.9</v>
      </c>
      <c r="C405">
        <v>104.4</v>
      </c>
      <c r="D405">
        <v>4.0</v>
      </c>
      <c r="E405" t="str">
        <f t="shared" si="1"/>
        <v>3.55</v>
      </c>
      <c r="F405">
        <v>10.0</v>
      </c>
      <c r="G405">
        <v>3.0</v>
      </c>
      <c r="H405" t="str">
        <f t="shared" si="2"/>
        <v>30</v>
      </c>
      <c r="I405">
        <v>102.0</v>
      </c>
      <c r="J405" t="str">
        <f t="shared" si="3"/>
        <v>323.85</v>
      </c>
      <c r="K405" t="str">
        <f t="shared" si="4"/>
        <v>1120.521</v>
      </c>
      <c r="L405" t="str">
        <f t="shared" si="5"/>
        <v>3.73507</v>
      </c>
      <c r="M405" t="str">
        <f t="shared" si="6"/>
        <v>346</v>
      </c>
      <c r="N405" t="s">
        <v>182</v>
      </c>
      <c r="O405" t="s">
        <v>774</v>
      </c>
      <c r="P405" t="s">
        <v>775</v>
      </c>
    </row>
    <row r="406" ht="15.75" customHeight="1">
      <c r="A406">
        <v>409.0</v>
      </c>
      <c r="B406">
        <v>43.0</v>
      </c>
      <c r="C406">
        <v>239.0</v>
      </c>
      <c r="D406">
        <v>4.0</v>
      </c>
      <c r="E406" t="str">
        <f t="shared" si="1"/>
        <v>3.8875</v>
      </c>
      <c r="F406">
        <v>5.0</v>
      </c>
      <c r="G406">
        <v>2.0</v>
      </c>
      <c r="H406" t="str">
        <f t="shared" si="2"/>
        <v>10</v>
      </c>
      <c r="I406">
        <v>153.0</v>
      </c>
      <c r="J406" t="str">
        <f t="shared" si="3"/>
        <v>485.775</v>
      </c>
      <c r="K406" t="str">
        <f t="shared" si="4"/>
        <v>1224.153</v>
      </c>
      <c r="L406" t="str">
        <f t="shared" si="5"/>
        <v>12.24153</v>
      </c>
      <c r="M406" t="str">
        <f t="shared" si="6"/>
        <v>252</v>
      </c>
      <c r="N406" t="s">
        <v>182</v>
      </c>
      <c r="O406" t="s">
        <v>776</v>
      </c>
      <c r="P406" t="s">
        <v>777</v>
      </c>
    </row>
    <row r="407" ht="15.75" customHeight="1">
      <c r="A407">
        <v>410.0</v>
      </c>
      <c r="B407">
        <v>70.0</v>
      </c>
      <c r="C407">
        <v>159.0</v>
      </c>
      <c r="D407">
        <v>3.0</v>
      </c>
      <c r="E407" t="str">
        <f t="shared" si="1"/>
        <v>2.925</v>
      </c>
      <c r="F407">
        <v>5.0</v>
      </c>
      <c r="G407">
        <v>3.0</v>
      </c>
      <c r="H407" t="str">
        <f t="shared" si="2"/>
        <v>15</v>
      </c>
      <c r="I407">
        <v>153.0</v>
      </c>
      <c r="J407" t="str">
        <f t="shared" si="3"/>
        <v>485.775</v>
      </c>
      <c r="K407" t="str">
        <f t="shared" si="4"/>
        <v>1855.6605</v>
      </c>
      <c r="L407" t="str">
        <f t="shared" si="5"/>
        <v>12.37107</v>
      </c>
      <c r="M407" t="str">
        <f t="shared" si="6"/>
        <v>382</v>
      </c>
      <c r="N407" t="s">
        <v>182</v>
      </c>
      <c r="O407" t="s">
        <v>778</v>
      </c>
    </row>
    <row r="408" ht="15.75" customHeight="1">
      <c r="A408">
        <v>411.0</v>
      </c>
      <c r="B408">
        <v>92.0</v>
      </c>
      <c r="C408">
        <v>43.5</v>
      </c>
      <c r="D408">
        <v>3.0</v>
      </c>
      <c r="E408" t="str">
        <f t="shared" si="1"/>
        <v>2.764285714</v>
      </c>
      <c r="F408">
        <v>3.0</v>
      </c>
      <c r="G408">
        <v>7.0</v>
      </c>
      <c r="H408" t="str">
        <f t="shared" si="2"/>
        <v>21</v>
      </c>
      <c r="I408">
        <v>102.0</v>
      </c>
      <c r="J408" t="str">
        <f t="shared" si="3"/>
        <v>323.85</v>
      </c>
      <c r="K408" t="str">
        <f t="shared" si="4"/>
        <v>978.027</v>
      </c>
      <c r="L408" t="str">
        <f t="shared" si="5"/>
        <v>4.657271429</v>
      </c>
      <c r="M408" t="str">
        <f t="shared" si="6"/>
        <v>302</v>
      </c>
      <c r="N408" t="s">
        <v>182</v>
      </c>
      <c r="O408" t="s">
        <v>779</v>
      </c>
      <c r="P408" t="s">
        <v>780</v>
      </c>
    </row>
    <row r="409" ht="15.75" customHeight="1">
      <c r="A409">
        <v>412.0</v>
      </c>
      <c r="B409">
        <v>115.0</v>
      </c>
      <c r="C409">
        <v>56.03</v>
      </c>
      <c r="D409">
        <v>3.0</v>
      </c>
      <c r="E409" t="str">
        <f t="shared" si="1"/>
        <v>4.93</v>
      </c>
      <c r="F409">
        <v>3.0</v>
      </c>
      <c r="G409">
        <v>5.0</v>
      </c>
      <c r="H409" t="str">
        <f t="shared" si="2"/>
        <v>15</v>
      </c>
      <c r="I409">
        <v>96.0</v>
      </c>
      <c r="J409" t="str">
        <f t="shared" si="3"/>
        <v>304.8</v>
      </c>
      <c r="K409" t="str">
        <f t="shared" si="4"/>
        <v>1130.808</v>
      </c>
      <c r="L409" t="str">
        <f t="shared" si="5"/>
        <v>7.53872</v>
      </c>
      <c r="M409" t="str">
        <f t="shared" si="6"/>
        <v>371</v>
      </c>
      <c r="N409" t="s">
        <v>182</v>
      </c>
      <c r="O409" t="s">
        <v>781</v>
      </c>
      <c r="P409" t="s">
        <v>782</v>
      </c>
    </row>
    <row r="410" ht="15.75" customHeight="1">
      <c r="A410">
        <v>413.0</v>
      </c>
      <c r="B410">
        <v>50.0</v>
      </c>
      <c r="C410">
        <v>135.0</v>
      </c>
      <c r="D410">
        <v>3.0</v>
      </c>
      <c r="E410" t="str">
        <f t="shared" si="1"/>
        <v>4.7</v>
      </c>
      <c r="F410">
        <v>7.0</v>
      </c>
      <c r="G410">
        <v>4.0</v>
      </c>
      <c r="H410" t="str">
        <f t="shared" si="2"/>
        <v>28</v>
      </c>
      <c r="I410">
        <v>176.0</v>
      </c>
      <c r="J410" t="str">
        <f t="shared" si="3"/>
        <v>558.8</v>
      </c>
      <c r="K410" t="str">
        <f t="shared" si="4"/>
        <v>2168.144</v>
      </c>
      <c r="L410" t="str">
        <f t="shared" si="5"/>
        <v>7.743371429</v>
      </c>
      <c r="M410" t="str">
        <f t="shared" si="6"/>
        <v>388</v>
      </c>
      <c r="N410" t="s">
        <v>182</v>
      </c>
      <c r="O410" t="s">
        <v>783</v>
      </c>
    </row>
    <row r="411" ht="15.75" customHeight="1">
      <c r="A411">
        <v>414.0</v>
      </c>
      <c r="B411">
        <v>40.0</v>
      </c>
      <c r="C411">
        <v>470.0</v>
      </c>
      <c r="D411">
        <v>3.0</v>
      </c>
      <c r="E411" t="str">
        <f t="shared" si="1"/>
        <v>15.775</v>
      </c>
      <c r="F411">
        <v>8.0</v>
      </c>
      <c r="G411">
        <v>1.0</v>
      </c>
      <c r="H411" t="str">
        <f t="shared" si="2"/>
        <v>8</v>
      </c>
      <c r="I411">
        <v>153.0</v>
      </c>
      <c r="J411" t="str">
        <f t="shared" si="3"/>
        <v>485.775</v>
      </c>
      <c r="K411" t="str">
        <f t="shared" si="4"/>
        <v>1753.64775</v>
      </c>
      <c r="L411" t="str">
        <f t="shared" si="5"/>
        <v>21.92059688</v>
      </c>
      <c r="M411" t="str">
        <f t="shared" si="6"/>
        <v>361</v>
      </c>
      <c r="N411" t="s">
        <v>182</v>
      </c>
      <c r="O411" t="s">
        <v>784</v>
      </c>
    </row>
    <row r="412" ht="15.75" customHeight="1">
      <c r="A412">
        <v>415.0</v>
      </c>
      <c r="B412">
        <v>126.0</v>
      </c>
      <c r="C412">
        <v>197.0</v>
      </c>
      <c r="D412">
        <v>3.0</v>
      </c>
      <c r="E412" t="str">
        <f t="shared" si="1"/>
        <v>3.025</v>
      </c>
      <c r="F412">
        <v>2.0</v>
      </c>
      <c r="G412">
        <v>2.0</v>
      </c>
      <c r="H412" t="str">
        <f t="shared" si="2"/>
        <v>4</v>
      </c>
      <c r="I412">
        <v>126.0</v>
      </c>
      <c r="J412" t="str">
        <f t="shared" si="3"/>
        <v>400.05</v>
      </c>
      <c r="K412" t="str">
        <f t="shared" si="4"/>
        <v>1100.1375</v>
      </c>
      <c r="L412" t="str">
        <f t="shared" si="5"/>
        <v>27.5034375</v>
      </c>
      <c r="M412" t="str">
        <f t="shared" si="6"/>
        <v>275</v>
      </c>
      <c r="N412" t="s">
        <v>182</v>
      </c>
      <c r="O412" t="s">
        <v>785</v>
      </c>
    </row>
    <row r="413" ht="15.75" customHeight="1">
      <c r="A413">
        <v>416.0</v>
      </c>
      <c r="B413">
        <v>117.0</v>
      </c>
      <c r="C413">
        <v>100.0</v>
      </c>
      <c r="D413">
        <v>5.0</v>
      </c>
      <c r="E413" t="str">
        <f t="shared" si="1"/>
        <v>3.716666667</v>
      </c>
      <c r="F413">
        <v>2.0</v>
      </c>
      <c r="G413">
        <v>3.0</v>
      </c>
      <c r="H413" t="str">
        <f t="shared" si="2"/>
        <v>6</v>
      </c>
      <c r="I413">
        <v>98.0</v>
      </c>
      <c r="J413" t="str">
        <f t="shared" si="3"/>
        <v>311.15</v>
      </c>
      <c r="K413" t="str">
        <f t="shared" si="4"/>
        <v>812.1015</v>
      </c>
      <c r="L413" t="str">
        <f t="shared" si="5"/>
        <v>13.535025</v>
      </c>
      <c r="M413" t="str">
        <f t="shared" si="6"/>
        <v>261</v>
      </c>
      <c r="N413" t="s">
        <v>187</v>
      </c>
      <c r="O413" t="s">
        <v>786</v>
      </c>
      <c r="P413" t="s">
        <v>787</v>
      </c>
    </row>
    <row r="414" ht="15.75" customHeight="1">
      <c r="A414">
        <v>417.0</v>
      </c>
      <c r="B414">
        <v>120.0</v>
      </c>
      <c r="C414">
        <v>180.0</v>
      </c>
      <c r="D414">
        <v>4.0</v>
      </c>
      <c r="E414" t="str">
        <f t="shared" si="1"/>
        <v>6.266666667</v>
      </c>
      <c r="F414">
        <v>3.0</v>
      </c>
      <c r="G414">
        <v>3.0</v>
      </c>
      <c r="H414" t="str">
        <f t="shared" si="2"/>
        <v>9</v>
      </c>
      <c r="I414">
        <v>176.0</v>
      </c>
      <c r="J414" t="str">
        <f t="shared" si="3"/>
        <v>558.8</v>
      </c>
      <c r="K414" t="str">
        <f t="shared" si="4"/>
        <v>2173.732</v>
      </c>
      <c r="L414" t="str">
        <f t="shared" si="5"/>
        <v>24.15257778</v>
      </c>
      <c r="M414" t="str">
        <f t="shared" si="6"/>
        <v>389</v>
      </c>
      <c r="N414" t="s">
        <v>182</v>
      </c>
      <c r="O414" t="s">
        <v>788</v>
      </c>
      <c r="P414" t="s">
        <v>789</v>
      </c>
    </row>
    <row r="415" ht="15.75" customHeight="1">
      <c r="A415">
        <v>418.0</v>
      </c>
      <c r="B415">
        <v>100.0</v>
      </c>
      <c r="C415">
        <v>30.0</v>
      </c>
      <c r="D415">
        <v>4.0</v>
      </c>
      <c r="E415" t="str">
        <f t="shared" si="1"/>
        <v>3.866666667</v>
      </c>
      <c r="F415">
        <v>2.0</v>
      </c>
      <c r="G415">
        <v>9.0</v>
      </c>
      <c r="H415" t="str">
        <f t="shared" si="2"/>
        <v>18</v>
      </c>
      <c r="I415">
        <v>96.0</v>
      </c>
      <c r="J415" t="str">
        <f t="shared" si="3"/>
        <v>304.8</v>
      </c>
      <c r="K415" t="str">
        <f t="shared" si="4"/>
        <v>685.8</v>
      </c>
      <c r="L415" t="str">
        <f t="shared" si="5"/>
        <v>3.81</v>
      </c>
      <c r="M415" t="str">
        <f t="shared" si="6"/>
        <v>225</v>
      </c>
      <c r="N415" t="s">
        <v>182</v>
      </c>
      <c r="O415" t="s">
        <v>790</v>
      </c>
      <c r="P415" t="s">
        <v>789</v>
      </c>
    </row>
    <row r="416" ht="15.75" customHeight="1">
      <c r="A416">
        <v>419.0</v>
      </c>
      <c r="B416">
        <v>50.0</v>
      </c>
      <c r="C416">
        <v>80.0</v>
      </c>
      <c r="D416">
        <v>4.0</v>
      </c>
      <c r="E416" t="str">
        <f t="shared" si="1"/>
        <v>3.34375</v>
      </c>
      <c r="F416">
        <v>6.0</v>
      </c>
      <c r="G416">
        <v>4.0</v>
      </c>
      <c r="H416" t="str">
        <f t="shared" si="2"/>
        <v>24</v>
      </c>
      <c r="I416">
        <v>105.0</v>
      </c>
      <c r="J416" t="str">
        <f t="shared" si="3"/>
        <v>333.375</v>
      </c>
      <c r="K416" t="str">
        <f t="shared" si="4"/>
        <v>1136.80875</v>
      </c>
      <c r="L416" t="str">
        <f t="shared" si="5"/>
        <v>4.736703125</v>
      </c>
      <c r="M416" t="str">
        <f t="shared" si="6"/>
        <v>341</v>
      </c>
      <c r="N416" t="s">
        <v>182</v>
      </c>
      <c r="O416" t="s">
        <v>791</v>
      </c>
      <c r="P416" t="s">
        <v>789</v>
      </c>
    </row>
    <row r="417" ht="15.75" customHeight="1">
      <c r="A417">
        <v>420.0</v>
      </c>
      <c r="B417">
        <v>54.0</v>
      </c>
      <c r="C417">
        <v>54.0</v>
      </c>
      <c r="D417">
        <v>3.0</v>
      </c>
      <c r="E417" t="str">
        <f t="shared" si="1"/>
        <v>3.15</v>
      </c>
      <c r="F417">
        <v>5.0</v>
      </c>
      <c r="G417">
        <v>6.0</v>
      </c>
      <c r="H417" t="str">
        <f t="shared" si="2"/>
        <v>30</v>
      </c>
      <c r="I417">
        <v>108.0</v>
      </c>
      <c r="J417" t="str">
        <f t="shared" si="3"/>
        <v>342.9</v>
      </c>
      <c r="K417" t="str">
        <f t="shared" si="4"/>
        <v>1035.558</v>
      </c>
      <c r="L417" t="str">
        <f t="shared" si="5"/>
        <v>3.45186</v>
      </c>
      <c r="M417" t="str">
        <f t="shared" si="6"/>
        <v>302</v>
      </c>
      <c r="N417" t="s">
        <v>182</v>
      </c>
      <c r="O417" t="s">
        <v>792</v>
      </c>
    </row>
    <row r="418" ht="15.75" customHeight="1">
      <c r="A418">
        <v>421.0</v>
      </c>
      <c r="B418">
        <v>19.0</v>
      </c>
      <c r="C418">
        <v>43.0</v>
      </c>
      <c r="D418">
        <v>3.0</v>
      </c>
      <c r="E418" t="str">
        <f t="shared" si="1"/>
        <v>3.264285714</v>
      </c>
      <c r="F418">
        <v>11.0</v>
      </c>
      <c r="G418">
        <v>7.0</v>
      </c>
      <c r="H418" t="str">
        <f t="shared" si="2"/>
        <v>77</v>
      </c>
      <c r="I418">
        <v>102.0</v>
      </c>
      <c r="J418" t="str">
        <f t="shared" si="3"/>
        <v>323.85</v>
      </c>
      <c r="K418" t="str">
        <f t="shared" si="4"/>
        <v>838.7715</v>
      </c>
      <c r="L418" t="str">
        <f t="shared" si="5"/>
        <v>1.089313636</v>
      </c>
      <c r="M418" t="str">
        <f t="shared" si="6"/>
        <v>259</v>
      </c>
      <c r="N418" t="s">
        <v>182</v>
      </c>
      <c r="O418" t="s">
        <v>793</v>
      </c>
    </row>
    <row r="419" ht="15.75" customHeight="1">
      <c r="A419">
        <v>422.0</v>
      </c>
      <c r="B419">
        <v>22.0</v>
      </c>
      <c r="C419">
        <v>58.0</v>
      </c>
      <c r="D419">
        <v>3.0</v>
      </c>
      <c r="E419" t="str">
        <f t="shared" si="1"/>
        <v>2.96</v>
      </c>
      <c r="F419">
        <v>12.0</v>
      </c>
      <c r="G419">
        <v>5.0</v>
      </c>
      <c r="H419" t="str">
        <f t="shared" si="2"/>
        <v>60</v>
      </c>
      <c r="I419">
        <v>96.0</v>
      </c>
      <c r="J419" t="str">
        <f t="shared" si="3"/>
        <v>304.8</v>
      </c>
      <c r="K419" t="str">
        <f t="shared" si="4"/>
        <v>966.216</v>
      </c>
      <c r="L419" t="str">
        <f t="shared" si="5"/>
        <v>1.61036</v>
      </c>
      <c r="M419" t="str">
        <f t="shared" si="6"/>
        <v>317</v>
      </c>
      <c r="N419" t="s">
        <v>182</v>
      </c>
      <c r="O419" t="s">
        <v>794</v>
      </c>
    </row>
    <row r="420" ht="15.75" customHeight="1">
      <c r="A420">
        <v>423.0</v>
      </c>
      <c r="B420">
        <v>30.0</v>
      </c>
      <c r="C420">
        <v>70.0</v>
      </c>
      <c r="D420">
        <v>3.0</v>
      </c>
      <c r="E420" t="str">
        <f t="shared" si="1"/>
        <v>6.2</v>
      </c>
      <c r="F420">
        <v>8.0</v>
      </c>
      <c r="G420">
        <v>5.0</v>
      </c>
      <c r="H420" t="str">
        <f t="shared" si="2"/>
        <v>40</v>
      </c>
      <c r="I420">
        <v>120.0</v>
      </c>
      <c r="J420" t="str">
        <f t="shared" si="3"/>
        <v>381</v>
      </c>
      <c r="K420" t="str">
        <f t="shared" si="4"/>
        <v>1070.61</v>
      </c>
      <c r="L420" t="str">
        <f t="shared" si="5"/>
        <v>2.676525</v>
      </c>
      <c r="M420" t="str">
        <f t="shared" si="6"/>
        <v>281</v>
      </c>
      <c r="N420" t="s">
        <v>182</v>
      </c>
      <c r="O420" t="s">
        <v>795</v>
      </c>
      <c r="P420" t="s">
        <v>796</v>
      </c>
    </row>
    <row r="421" ht="15.75" customHeight="1">
      <c r="A421">
        <v>424.0</v>
      </c>
      <c r="B421">
        <v>30.0</v>
      </c>
      <c r="C421">
        <v>90.0</v>
      </c>
      <c r="D421">
        <v>3.0</v>
      </c>
      <c r="E421" t="str">
        <f t="shared" si="1"/>
        <v>3.133333333</v>
      </c>
      <c r="F421">
        <v>8.0</v>
      </c>
      <c r="G421">
        <v>6.0</v>
      </c>
      <c r="H421" t="str">
        <f t="shared" si="2"/>
        <v>48</v>
      </c>
      <c r="I421">
        <v>176.0</v>
      </c>
      <c r="J421" t="str">
        <f t="shared" si="3"/>
        <v>558.8</v>
      </c>
      <c r="K421" t="str">
        <f t="shared" si="4"/>
        <v>1570.228</v>
      </c>
      <c r="L421" t="str">
        <f t="shared" si="5"/>
        <v>3.271308333</v>
      </c>
      <c r="M421" t="str">
        <f t="shared" si="6"/>
        <v>281</v>
      </c>
      <c r="N421" t="s">
        <v>182</v>
      </c>
      <c r="O421" t="s">
        <v>797</v>
      </c>
    </row>
    <row r="422" ht="15.75" customHeight="1">
      <c r="A422">
        <v>425.0</v>
      </c>
      <c r="B422">
        <v>30.0</v>
      </c>
      <c r="C422">
        <v>58.0</v>
      </c>
      <c r="D422">
        <v>3.0</v>
      </c>
      <c r="E422" t="str">
        <f t="shared" si="1"/>
        <v>2.96</v>
      </c>
      <c r="F422">
        <v>8.0</v>
      </c>
      <c r="G422">
        <v>5.0</v>
      </c>
      <c r="H422" t="str">
        <f t="shared" si="2"/>
        <v>40</v>
      </c>
      <c r="I422">
        <v>96.0</v>
      </c>
      <c r="J422" t="str">
        <f t="shared" si="3"/>
        <v>304.8</v>
      </c>
      <c r="K422" t="str">
        <f t="shared" si="4"/>
        <v>856.488</v>
      </c>
      <c r="L422" t="str">
        <f t="shared" si="5"/>
        <v>2.14122</v>
      </c>
      <c r="M422" t="str">
        <f t="shared" si="6"/>
        <v>281</v>
      </c>
      <c r="N422" t="s">
        <v>182</v>
      </c>
      <c r="O422" t="s">
        <v>798</v>
      </c>
    </row>
    <row r="423" ht="15.75" customHeight="1">
      <c r="A423">
        <v>426.0</v>
      </c>
      <c r="B423">
        <v>48.0</v>
      </c>
      <c r="C423">
        <v>110.0</v>
      </c>
      <c r="D423">
        <v>3.0</v>
      </c>
      <c r="E423" t="str">
        <f t="shared" si="1"/>
        <v>4.3</v>
      </c>
      <c r="F423">
        <v>4.0</v>
      </c>
      <c r="G423">
        <v>3.0</v>
      </c>
      <c r="H423" t="str">
        <f t="shared" si="2"/>
        <v>12</v>
      </c>
      <c r="I423">
        <v>108.0</v>
      </c>
      <c r="J423" t="str">
        <f t="shared" si="3"/>
        <v>342.9</v>
      </c>
      <c r="K423" t="str">
        <f t="shared" si="4"/>
        <v>757.809</v>
      </c>
      <c r="L423" t="str">
        <f t="shared" si="5"/>
        <v>6.315075</v>
      </c>
      <c r="M423" t="str">
        <f t="shared" si="6"/>
        <v>221</v>
      </c>
      <c r="N423" t="s">
        <v>182</v>
      </c>
      <c r="O423" t="s">
        <v>799</v>
      </c>
      <c r="P423" t="s">
        <v>800</v>
      </c>
    </row>
    <row r="424" ht="15.75" customHeight="1">
      <c r="A424">
        <v>427.0</v>
      </c>
      <c r="B424">
        <v>50.0</v>
      </c>
      <c r="C424">
        <v>40.0</v>
      </c>
      <c r="D424">
        <v>3.0</v>
      </c>
      <c r="E424" t="str">
        <f t="shared" si="1"/>
        <v>2.8625</v>
      </c>
      <c r="F424">
        <v>7.0</v>
      </c>
      <c r="G424">
        <v>8.0</v>
      </c>
      <c r="H424" t="str">
        <f t="shared" si="2"/>
        <v>56</v>
      </c>
      <c r="I424">
        <v>108.0</v>
      </c>
      <c r="J424" t="str">
        <f t="shared" si="3"/>
        <v>342.9</v>
      </c>
      <c r="K424" t="str">
        <f t="shared" si="4"/>
        <v>1330.452</v>
      </c>
      <c r="L424" t="str">
        <f t="shared" si="5"/>
        <v>2.375807143</v>
      </c>
      <c r="M424" t="str">
        <f t="shared" si="6"/>
        <v>388</v>
      </c>
      <c r="N424" t="s">
        <v>182</v>
      </c>
      <c r="O424" t="s">
        <v>801</v>
      </c>
    </row>
    <row r="425" ht="15.75" customHeight="1">
      <c r="A425">
        <v>428.0</v>
      </c>
      <c r="B425">
        <v>70.0</v>
      </c>
      <c r="C425">
        <v>210.0</v>
      </c>
      <c r="D425">
        <v>3.0</v>
      </c>
      <c r="E425" t="str">
        <f t="shared" si="1"/>
        <v>4.3125</v>
      </c>
      <c r="F425">
        <v>4.0</v>
      </c>
      <c r="G425">
        <v>2.0</v>
      </c>
      <c r="H425" t="str">
        <f t="shared" si="2"/>
        <v>8</v>
      </c>
      <c r="I425">
        <v>135.0</v>
      </c>
      <c r="J425" t="str">
        <f t="shared" si="3"/>
        <v>428.625</v>
      </c>
      <c r="K425" t="str">
        <f t="shared" si="4"/>
        <v>1324.45125</v>
      </c>
      <c r="L425" t="str">
        <f t="shared" si="5"/>
        <v>16.55564063</v>
      </c>
      <c r="M425" t="str">
        <f t="shared" si="6"/>
        <v>309</v>
      </c>
      <c r="N425" t="s">
        <v>182</v>
      </c>
      <c r="O425" t="s">
        <v>802</v>
      </c>
    </row>
    <row r="426" ht="15.75" customHeight="1">
      <c r="A426">
        <v>429.0</v>
      </c>
      <c r="B426">
        <v>95.0</v>
      </c>
      <c r="C426">
        <v>240.0</v>
      </c>
      <c r="D426">
        <v>3.0</v>
      </c>
      <c r="E426" t="str">
        <f t="shared" si="1"/>
        <v>2.8875</v>
      </c>
      <c r="F426">
        <v>4.0</v>
      </c>
      <c r="G426">
        <v>2.0</v>
      </c>
      <c r="H426" t="str">
        <f t="shared" si="2"/>
        <v>8</v>
      </c>
      <c r="I426">
        <v>153.0</v>
      </c>
      <c r="J426" t="str">
        <f t="shared" si="3"/>
        <v>485.775</v>
      </c>
      <c r="K426" t="str">
        <f t="shared" si="4"/>
        <v>1986.81975</v>
      </c>
      <c r="L426" t="str">
        <f t="shared" si="5"/>
        <v>24.83524688</v>
      </c>
      <c r="M426" t="str">
        <f t="shared" si="6"/>
        <v>409</v>
      </c>
      <c r="N426" t="s">
        <v>182</v>
      </c>
      <c r="O426" t="s">
        <v>803</v>
      </c>
    </row>
    <row r="427" ht="15.75" customHeight="1">
      <c r="A427">
        <v>430.0</v>
      </c>
      <c r="B427">
        <v>210.0</v>
      </c>
      <c r="C427">
        <v>105.0</v>
      </c>
      <c r="D427">
        <v>3.0</v>
      </c>
      <c r="E427" t="str">
        <f t="shared" si="1"/>
        <v>6.125</v>
      </c>
      <c r="F427">
        <v>1.0</v>
      </c>
      <c r="G427">
        <v>3.0</v>
      </c>
      <c r="H427" t="str">
        <f t="shared" si="2"/>
        <v>3</v>
      </c>
      <c r="I427">
        <v>105.0</v>
      </c>
      <c r="J427" t="str">
        <f t="shared" si="3"/>
        <v>333.375</v>
      </c>
      <c r="K427" t="str">
        <f t="shared" si="4"/>
        <v>766.7625</v>
      </c>
      <c r="L427" t="str">
        <f t="shared" si="5"/>
        <v>25.55875</v>
      </c>
      <c r="M427" t="str">
        <f t="shared" si="6"/>
        <v>230</v>
      </c>
      <c r="N427" t="s">
        <v>182</v>
      </c>
      <c r="O427" t="s">
        <v>804</v>
      </c>
      <c r="P427" t="s">
        <v>805</v>
      </c>
    </row>
    <row r="428" ht="15.75" customHeight="1">
      <c r="A428">
        <v>431.0</v>
      </c>
      <c r="B428">
        <v>210.0</v>
      </c>
      <c r="C428">
        <v>105.0</v>
      </c>
      <c r="D428">
        <v>3.0</v>
      </c>
      <c r="E428" t="str">
        <f t="shared" si="1"/>
        <v>6.125</v>
      </c>
      <c r="F428">
        <v>2.0</v>
      </c>
      <c r="G428">
        <v>3.0</v>
      </c>
      <c r="H428" t="str">
        <f t="shared" si="2"/>
        <v>6</v>
      </c>
      <c r="I428">
        <v>105.0</v>
      </c>
      <c r="J428" t="str">
        <f t="shared" si="3"/>
        <v>333.375</v>
      </c>
      <c r="K428" t="str">
        <f t="shared" si="4"/>
        <v>1476.85125</v>
      </c>
      <c r="L428" t="str">
        <f t="shared" si="5"/>
        <v>24.6141875</v>
      </c>
      <c r="M428" t="str">
        <f t="shared" si="6"/>
        <v>443</v>
      </c>
      <c r="N428" t="s">
        <v>182</v>
      </c>
      <c r="O428" t="s">
        <v>806</v>
      </c>
      <c r="P428" t="s">
        <v>807</v>
      </c>
    </row>
    <row r="429" ht="15.75" customHeight="1">
      <c r="A429">
        <v>432.0</v>
      </c>
      <c r="B429">
        <v>394.0</v>
      </c>
      <c r="C429">
        <v>102.0</v>
      </c>
      <c r="D429">
        <v>4.0</v>
      </c>
      <c r="E429" t="str">
        <f t="shared" si="1"/>
        <v>5.15625</v>
      </c>
      <c r="F429">
        <v>1.0</v>
      </c>
      <c r="G429">
        <v>4.0</v>
      </c>
      <c r="H429" t="str">
        <f t="shared" si="2"/>
        <v>4</v>
      </c>
      <c r="I429">
        <v>135.0</v>
      </c>
      <c r="J429" t="str">
        <f t="shared" si="3"/>
        <v>428.625</v>
      </c>
      <c r="K429" t="str">
        <f t="shared" si="4"/>
        <v>1778.79375</v>
      </c>
      <c r="L429" t="str">
        <f t="shared" si="5"/>
        <v>44.46984375</v>
      </c>
      <c r="M429" t="str">
        <f t="shared" si="6"/>
        <v>415</v>
      </c>
      <c r="N429" t="s">
        <v>182</v>
      </c>
      <c r="O429" t="s">
        <v>808</v>
      </c>
      <c r="P429" t="s">
        <v>809</v>
      </c>
    </row>
    <row r="430" ht="15.75" customHeight="1">
      <c r="A430">
        <v>433.0</v>
      </c>
      <c r="B430">
        <v>197.0</v>
      </c>
      <c r="C430">
        <v>159.0</v>
      </c>
      <c r="D430">
        <v>3.0</v>
      </c>
      <c r="E430" t="str">
        <f t="shared" si="1"/>
        <v>2.925</v>
      </c>
      <c r="F430">
        <v>2.0</v>
      </c>
      <c r="G430">
        <v>2.0</v>
      </c>
      <c r="H430" t="str">
        <f t="shared" si="2"/>
        <v>4</v>
      </c>
      <c r="I430">
        <v>102.0</v>
      </c>
      <c r="J430" t="str">
        <f t="shared" si="3"/>
        <v>323.85</v>
      </c>
      <c r="K430" t="str">
        <f t="shared" si="4"/>
        <v>1350.4545</v>
      </c>
      <c r="L430" t="str">
        <f t="shared" si="5"/>
        <v>33.7613625</v>
      </c>
      <c r="M430" t="str">
        <f t="shared" si="6"/>
        <v>417</v>
      </c>
      <c r="N430" t="s">
        <v>182</v>
      </c>
      <c r="O430" t="s">
        <v>810</v>
      </c>
    </row>
    <row r="431" ht="15.75" customHeight="1">
      <c r="A431">
        <v>434.0</v>
      </c>
      <c r="B431">
        <v>105.0</v>
      </c>
      <c r="C431">
        <v>190.0</v>
      </c>
      <c r="D431">
        <v>3.0</v>
      </c>
      <c r="E431" t="str">
        <f t="shared" si="1"/>
        <v>10.025</v>
      </c>
      <c r="F431">
        <v>3.0</v>
      </c>
      <c r="G431">
        <v>2.0</v>
      </c>
      <c r="H431" t="str">
        <f t="shared" si="2"/>
        <v>6</v>
      </c>
      <c r="I431">
        <v>126.0</v>
      </c>
      <c r="J431" t="str">
        <f t="shared" si="3"/>
        <v>400.05</v>
      </c>
      <c r="K431" t="str">
        <f t="shared" si="4"/>
        <v>1364.1705</v>
      </c>
      <c r="L431" t="str">
        <f t="shared" si="5"/>
        <v>22.736175</v>
      </c>
      <c r="M431" t="str">
        <f t="shared" si="6"/>
        <v>341</v>
      </c>
      <c r="N431" t="s">
        <v>182</v>
      </c>
      <c r="O431" t="s">
        <v>811</v>
      </c>
      <c r="P431" t="s">
        <v>812</v>
      </c>
    </row>
    <row r="432" ht="15.75" customHeight="1">
      <c r="A432">
        <v>435.0</v>
      </c>
      <c r="B432">
        <v>80.0</v>
      </c>
      <c r="C432">
        <v>168.0</v>
      </c>
      <c r="D432">
        <v>3.0</v>
      </c>
      <c r="E432" t="str">
        <f t="shared" si="1"/>
        <v>3.45</v>
      </c>
      <c r="F432">
        <v>5.0</v>
      </c>
      <c r="G432">
        <v>2.0</v>
      </c>
      <c r="H432" t="str">
        <f t="shared" si="2"/>
        <v>10</v>
      </c>
      <c r="I432">
        <v>108.0</v>
      </c>
      <c r="J432" t="str">
        <f t="shared" si="3"/>
        <v>342.9</v>
      </c>
      <c r="K432" t="str">
        <f t="shared" si="4"/>
        <v>1481.328</v>
      </c>
      <c r="L432" t="str">
        <f t="shared" si="5"/>
        <v>14.81328</v>
      </c>
      <c r="M432" t="str">
        <f t="shared" si="6"/>
        <v>432</v>
      </c>
      <c r="N432" t="s">
        <v>182</v>
      </c>
      <c r="O432" t="s">
        <v>813</v>
      </c>
    </row>
    <row r="433" ht="15.75" customHeight="1">
      <c r="A433">
        <v>436.0</v>
      </c>
      <c r="B433">
        <v>23.0</v>
      </c>
      <c r="C433">
        <v>58.0</v>
      </c>
      <c r="D433">
        <v>3.0</v>
      </c>
      <c r="E433" t="str">
        <f t="shared" si="1"/>
        <v>2.96</v>
      </c>
      <c r="F433">
        <v>7.0</v>
      </c>
      <c r="G433">
        <v>5.0</v>
      </c>
      <c r="H433" t="str">
        <f t="shared" si="2"/>
        <v>35</v>
      </c>
      <c r="I433">
        <v>96.0</v>
      </c>
      <c r="J433" t="str">
        <f t="shared" si="3"/>
        <v>304.8</v>
      </c>
      <c r="K433" t="str">
        <f t="shared" si="4"/>
        <v>606.552</v>
      </c>
      <c r="L433" t="str">
        <f t="shared" si="5"/>
        <v>1.733005714</v>
      </c>
      <c r="M433" t="str">
        <f t="shared" si="6"/>
        <v>199</v>
      </c>
      <c r="N433" t="s">
        <v>182</v>
      </c>
      <c r="O433" t="s">
        <v>814</v>
      </c>
    </row>
    <row r="434" ht="15.75" customHeight="1">
      <c r="A434">
        <v>437.0</v>
      </c>
      <c r="B434">
        <v>130.0</v>
      </c>
      <c r="C434">
        <v>130.0</v>
      </c>
      <c r="D434">
        <v>3.0</v>
      </c>
      <c r="E434" t="str">
        <f t="shared" si="1"/>
        <v>3.35</v>
      </c>
      <c r="F434">
        <v>2.0</v>
      </c>
      <c r="G434">
        <v>3.0</v>
      </c>
      <c r="H434" t="str">
        <f t="shared" si="2"/>
        <v>6</v>
      </c>
      <c r="I434">
        <v>126.0</v>
      </c>
      <c r="J434" t="str">
        <f t="shared" si="3"/>
        <v>400.05</v>
      </c>
      <c r="K434" t="str">
        <f t="shared" si="4"/>
        <v>1132.1415</v>
      </c>
      <c r="L434" t="str">
        <f t="shared" si="5"/>
        <v>18.869025</v>
      </c>
      <c r="M434" t="str">
        <f t="shared" si="6"/>
        <v>283</v>
      </c>
      <c r="N434" t="s">
        <v>182</v>
      </c>
      <c r="O434" t="s">
        <v>815</v>
      </c>
    </row>
    <row r="435" ht="15.75" customHeight="1">
      <c r="A435">
        <v>438.0</v>
      </c>
      <c r="B435">
        <v>25.0</v>
      </c>
      <c r="C435">
        <v>130.0</v>
      </c>
      <c r="D435">
        <v>3.0</v>
      </c>
      <c r="E435" t="str">
        <f t="shared" si="1"/>
        <v>3.35</v>
      </c>
      <c r="F435">
        <v>8.0</v>
      </c>
      <c r="G435">
        <v>3.0</v>
      </c>
      <c r="H435" t="str">
        <f t="shared" si="2"/>
        <v>24</v>
      </c>
      <c r="I435">
        <v>126.0</v>
      </c>
      <c r="J435" t="str">
        <f t="shared" si="3"/>
        <v>400.05</v>
      </c>
      <c r="K435" t="str">
        <f t="shared" si="4"/>
        <v>964.1205</v>
      </c>
      <c r="L435" t="str">
        <f t="shared" si="5"/>
        <v>4.01716875</v>
      </c>
      <c r="M435" t="str">
        <f t="shared" si="6"/>
        <v>241</v>
      </c>
      <c r="N435" t="s">
        <v>182</v>
      </c>
      <c r="O435" t="s">
        <v>816</v>
      </c>
    </row>
    <row r="436" ht="15.75" customHeight="1">
      <c r="A436">
        <v>439.0</v>
      </c>
      <c r="B436">
        <v>65.0</v>
      </c>
      <c r="C436">
        <v>180.0</v>
      </c>
      <c r="D436">
        <v>3.0</v>
      </c>
      <c r="E436" t="str">
        <f t="shared" si="1"/>
        <v>6.266666667</v>
      </c>
      <c r="F436">
        <v>4.0</v>
      </c>
      <c r="G436">
        <v>3.0</v>
      </c>
      <c r="H436" t="str">
        <f t="shared" si="2"/>
        <v>12</v>
      </c>
      <c r="I436">
        <v>176.0</v>
      </c>
      <c r="J436" t="str">
        <f t="shared" si="3"/>
        <v>558.8</v>
      </c>
      <c r="K436" t="str">
        <f t="shared" si="4"/>
        <v>1614.932</v>
      </c>
      <c r="L436" t="str">
        <f t="shared" si="5"/>
        <v>13.45776667</v>
      </c>
      <c r="M436" t="str">
        <f t="shared" si="6"/>
        <v>289</v>
      </c>
      <c r="N436" t="s">
        <v>182</v>
      </c>
      <c r="O436" t="s">
        <v>817</v>
      </c>
    </row>
    <row r="437" ht="15.75" customHeight="1">
      <c r="A437">
        <v>440.0</v>
      </c>
      <c r="B437">
        <v>46.0</v>
      </c>
      <c r="C437">
        <v>46.0</v>
      </c>
      <c r="D437">
        <v>3.0</v>
      </c>
      <c r="E437" t="str">
        <f t="shared" si="1"/>
        <v>2.985714286</v>
      </c>
      <c r="F437">
        <v>8.0</v>
      </c>
      <c r="G437">
        <v>7.0</v>
      </c>
      <c r="H437" t="str">
        <f t="shared" si="2"/>
        <v>56</v>
      </c>
      <c r="I437">
        <v>108.0</v>
      </c>
      <c r="J437" t="str">
        <f t="shared" si="3"/>
        <v>342.9</v>
      </c>
      <c r="K437" t="str">
        <f t="shared" si="4"/>
        <v>1402.461</v>
      </c>
      <c r="L437" t="str">
        <f t="shared" si="5"/>
        <v>2.504394643</v>
      </c>
      <c r="M437" t="str">
        <f t="shared" si="6"/>
        <v>409</v>
      </c>
      <c r="N437" t="s">
        <v>182</v>
      </c>
      <c r="O437" t="s">
        <v>818</v>
      </c>
      <c r="P437" t="s">
        <v>819</v>
      </c>
    </row>
    <row r="438" ht="15.75" customHeight="1">
      <c r="A438">
        <v>441.0</v>
      </c>
      <c r="B438">
        <v>135.0</v>
      </c>
      <c r="C438">
        <v>65.0</v>
      </c>
      <c r="D438">
        <v>3.0</v>
      </c>
      <c r="E438" t="str">
        <f t="shared" si="1"/>
        <v>3.58</v>
      </c>
      <c r="F438">
        <v>2.0</v>
      </c>
      <c r="G438">
        <v>5.0</v>
      </c>
      <c r="H438" t="str">
        <f t="shared" si="2"/>
        <v>10</v>
      </c>
      <c r="I438">
        <v>108.0</v>
      </c>
      <c r="J438" t="str">
        <f t="shared" si="3"/>
        <v>342.9</v>
      </c>
      <c r="K438" t="str">
        <f t="shared" si="4"/>
        <v>1004.697</v>
      </c>
      <c r="L438" t="str">
        <f t="shared" si="5"/>
        <v>10.04697</v>
      </c>
      <c r="M438" t="str">
        <f t="shared" si="6"/>
        <v>293</v>
      </c>
      <c r="N438" t="s">
        <v>182</v>
      </c>
      <c r="O438" t="s">
        <v>820</v>
      </c>
      <c r="P438" t="s">
        <v>821</v>
      </c>
    </row>
    <row r="439" ht="15.75" customHeight="1">
      <c r="A439">
        <v>442.0</v>
      </c>
      <c r="B439">
        <v>45.0</v>
      </c>
      <c r="C439">
        <v>118.0</v>
      </c>
      <c r="D439">
        <v>3.0</v>
      </c>
      <c r="E439" t="str">
        <f t="shared" si="1"/>
        <v>3.44375</v>
      </c>
      <c r="F439">
        <v>8.0</v>
      </c>
      <c r="G439">
        <v>4.0</v>
      </c>
      <c r="H439" t="str">
        <f t="shared" si="2"/>
        <v>32</v>
      </c>
      <c r="I439">
        <v>153.0</v>
      </c>
      <c r="J439" t="str">
        <f t="shared" si="3"/>
        <v>485.775</v>
      </c>
      <c r="K439" t="str">
        <f t="shared" si="4"/>
        <v>1947.95775</v>
      </c>
      <c r="L439" t="str">
        <f t="shared" si="5"/>
        <v>6.087367969</v>
      </c>
      <c r="M439" t="str">
        <f t="shared" si="6"/>
        <v>401</v>
      </c>
      <c r="N439" t="s">
        <v>182</v>
      </c>
      <c r="O439" t="s">
        <v>822</v>
      </c>
      <c r="P439" t="s">
        <v>823</v>
      </c>
    </row>
    <row r="440" ht="15.75" customHeight="1">
      <c r="A440">
        <v>443.0</v>
      </c>
      <c r="B440">
        <v>30.0</v>
      </c>
      <c r="C440">
        <v>30.0</v>
      </c>
      <c r="D440">
        <v>3.0</v>
      </c>
      <c r="E440" t="str">
        <f t="shared" si="1"/>
        <v>3.866666667</v>
      </c>
      <c r="F440">
        <v>7.0</v>
      </c>
      <c r="G440">
        <v>9.0</v>
      </c>
      <c r="H440" t="str">
        <f t="shared" si="2"/>
        <v>63</v>
      </c>
      <c r="I440">
        <v>96.0</v>
      </c>
      <c r="J440" t="str">
        <f t="shared" si="3"/>
        <v>304.8</v>
      </c>
      <c r="K440" t="str">
        <f t="shared" si="4"/>
        <v>755.904</v>
      </c>
      <c r="L440" t="str">
        <f t="shared" si="5"/>
        <v>1.199847619</v>
      </c>
      <c r="M440" t="str">
        <f t="shared" si="6"/>
        <v>248</v>
      </c>
      <c r="N440" t="s">
        <v>182</v>
      </c>
      <c r="O440" t="s">
        <v>824</v>
      </c>
      <c r="P440" t="s">
        <v>823</v>
      </c>
    </row>
    <row r="441" ht="15.75" customHeight="1">
      <c r="A441">
        <v>444.0</v>
      </c>
      <c r="B441">
        <v>110.0</v>
      </c>
      <c r="C441">
        <v>61.0</v>
      </c>
      <c r="D441">
        <v>3.0</v>
      </c>
      <c r="E441" t="str">
        <f t="shared" si="1"/>
        <v>3.77</v>
      </c>
      <c r="F441">
        <v>3.0</v>
      </c>
      <c r="G441">
        <v>5.0</v>
      </c>
      <c r="H441" t="str">
        <f t="shared" si="2"/>
        <v>15</v>
      </c>
      <c r="I441">
        <v>102.0</v>
      </c>
      <c r="J441" t="str">
        <f t="shared" si="3"/>
        <v>323.85</v>
      </c>
      <c r="K441" t="str">
        <f t="shared" si="4"/>
        <v>1152.906</v>
      </c>
      <c r="L441" t="str">
        <f t="shared" si="5"/>
        <v>7.68604</v>
      </c>
      <c r="M441" t="str">
        <f t="shared" si="6"/>
        <v>356</v>
      </c>
      <c r="N441" t="s">
        <v>182</v>
      </c>
      <c r="O441" t="s">
        <v>825</v>
      </c>
      <c r="P441" t="s">
        <v>823</v>
      </c>
    </row>
    <row r="442" ht="15.75" customHeight="1">
      <c r="A442">
        <v>445.0</v>
      </c>
      <c r="B442">
        <v>78.0</v>
      </c>
      <c r="C442">
        <v>118.5</v>
      </c>
      <c r="D442">
        <v>3.0</v>
      </c>
      <c r="E442" t="str">
        <f t="shared" si="1"/>
        <v>2.94375</v>
      </c>
      <c r="F442">
        <v>4.0</v>
      </c>
      <c r="G442">
        <v>4.0</v>
      </c>
      <c r="H442" t="str">
        <f t="shared" si="2"/>
        <v>16</v>
      </c>
      <c r="I442">
        <v>153.0</v>
      </c>
      <c r="J442" t="str">
        <f t="shared" si="3"/>
        <v>485.775</v>
      </c>
      <c r="K442" t="str">
        <f t="shared" si="4"/>
        <v>1656.49275</v>
      </c>
      <c r="L442" t="str">
        <f t="shared" si="5"/>
        <v>10.35307969</v>
      </c>
      <c r="M442" t="str">
        <f t="shared" si="6"/>
        <v>341</v>
      </c>
      <c r="N442" t="s">
        <v>182</v>
      </c>
      <c r="O442" t="s">
        <v>826</v>
      </c>
      <c r="P442" t="s">
        <v>823</v>
      </c>
    </row>
    <row r="443" ht="15.75" customHeight="1">
      <c r="A443">
        <v>446.0</v>
      </c>
      <c r="B443">
        <v>80.0</v>
      </c>
      <c r="C443">
        <v>305.0</v>
      </c>
      <c r="D443">
        <v>3.0</v>
      </c>
      <c r="E443" t="str">
        <f t="shared" si="1"/>
        <v>6.15</v>
      </c>
      <c r="F443">
        <v>5.0</v>
      </c>
      <c r="G443">
        <v>1.0</v>
      </c>
      <c r="H443" t="str">
        <f t="shared" si="2"/>
        <v>5</v>
      </c>
      <c r="I443">
        <v>98.0</v>
      </c>
      <c r="J443" t="str">
        <f t="shared" si="3"/>
        <v>311.15</v>
      </c>
      <c r="K443" t="str">
        <f t="shared" si="4"/>
        <v>1344.168</v>
      </c>
      <c r="L443" t="str">
        <f t="shared" si="5"/>
        <v>26.88336</v>
      </c>
      <c r="M443" t="str">
        <f t="shared" si="6"/>
        <v>432</v>
      </c>
      <c r="N443" t="s">
        <v>182</v>
      </c>
      <c r="O443" t="s">
        <v>827</v>
      </c>
      <c r="P443" t="s">
        <v>823</v>
      </c>
    </row>
    <row r="444" ht="15.75" customHeight="1">
      <c r="A444">
        <v>447.0</v>
      </c>
      <c r="B444">
        <v>140.0</v>
      </c>
      <c r="C444">
        <v>330.0</v>
      </c>
      <c r="D444">
        <v>3.0</v>
      </c>
      <c r="E444" t="str">
        <f t="shared" si="1"/>
        <v>3.375</v>
      </c>
      <c r="F444">
        <v>2.0</v>
      </c>
      <c r="G444">
        <v>1.0</v>
      </c>
      <c r="H444" t="str">
        <f t="shared" si="2"/>
        <v>2</v>
      </c>
      <c r="I444">
        <v>105.0</v>
      </c>
      <c r="J444" t="str">
        <f t="shared" si="3"/>
        <v>333.375</v>
      </c>
      <c r="K444" t="str">
        <f t="shared" si="4"/>
        <v>1010.12625</v>
      </c>
      <c r="L444" t="str">
        <f t="shared" si="5"/>
        <v>50.5063125</v>
      </c>
      <c r="M444" t="str">
        <f t="shared" si="6"/>
        <v>303</v>
      </c>
      <c r="N444" t="s">
        <v>182</v>
      </c>
      <c r="O444" t="s">
        <v>828</v>
      </c>
      <c r="P444" t="s">
        <v>823</v>
      </c>
    </row>
    <row r="445" ht="15.75" customHeight="1">
      <c r="A445">
        <v>448.0</v>
      </c>
      <c r="B445">
        <v>175.0</v>
      </c>
      <c r="C445">
        <v>72.0</v>
      </c>
      <c r="D445">
        <v>5.0</v>
      </c>
      <c r="E445" t="str">
        <f t="shared" si="1"/>
        <v>4.2</v>
      </c>
      <c r="F445">
        <v>2.0</v>
      </c>
      <c r="G445">
        <v>4.0</v>
      </c>
      <c r="H445" t="str">
        <f t="shared" si="2"/>
        <v>8</v>
      </c>
      <c r="I445">
        <v>96.0</v>
      </c>
      <c r="J445" t="str">
        <f t="shared" si="3"/>
        <v>304.8</v>
      </c>
      <c r="K445" t="str">
        <f t="shared" si="4"/>
        <v>1149.096</v>
      </c>
      <c r="L445" t="str">
        <f t="shared" si="5"/>
        <v>14.3637</v>
      </c>
      <c r="M445" t="str">
        <f t="shared" si="6"/>
        <v>377</v>
      </c>
      <c r="N445" t="s">
        <v>182</v>
      </c>
      <c r="O445" t="s">
        <v>829</v>
      </c>
      <c r="P445" t="s">
        <v>830</v>
      </c>
    </row>
    <row r="446" ht="15.75" customHeight="1">
      <c r="A446">
        <v>449.0</v>
      </c>
      <c r="B446">
        <v>35.0</v>
      </c>
      <c r="C446">
        <v>124.0</v>
      </c>
      <c r="D446">
        <v>4.0</v>
      </c>
      <c r="E446" t="str">
        <f t="shared" si="1"/>
        <v>3</v>
      </c>
      <c r="F446">
        <v>10.0</v>
      </c>
      <c r="G446">
        <v>3.0</v>
      </c>
      <c r="H446" t="str">
        <f t="shared" si="2"/>
        <v>30</v>
      </c>
      <c r="I446">
        <v>120.0</v>
      </c>
      <c r="J446" t="str">
        <f t="shared" si="3"/>
        <v>381</v>
      </c>
      <c r="K446" t="str">
        <f t="shared" si="4"/>
        <v>1550.67</v>
      </c>
      <c r="L446" t="str">
        <f t="shared" si="5"/>
        <v>5.1689</v>
      </c>
      <c r="M446" t="str">
        <f t="shared" si="6"/>
        <v>407</v>
      </c>
      <c r="N446" t="s">
        <v>182</v>
      </c>
      <c r="O446" t="s">
        <v>831</v>
      </c>
      <c r="P446" t="s">
        <v>832</v>
      </c>
    </row>
    <row r="447" ht="15.75" customHeight="1">
      <c r="A447">
        <v>450.0</v>
      </c>
      <c r="B447">
        <v>70.0</v>
      </c>
      <c r="C447">
        <v>158.0</v>
      </c>
      <c r="D447">
        <v>3.0</v>
      </c>
      <c r="E447" t="str">
        <f t="shared" si="1"/>
        <v>3.925</v>
      </c>
      <c r="F447">
        <v>5.0</v>
      </c>
      <c r="G447">
        <v>2.0</v>
      </c>
      <c r="H447" t="str">
        <f t="shared" si="2"/>
        <v>10</v>
      </c>
      <c r="I447">
        <v>102.0</v>
      </c>
      <c r="J447" t="str">
        <f t="shared" si="3"/>
        <v>323.85</v>
      </c>
      <c r="K447" t="str">
        <f t="shared" si="4"/>
        <v>1237.107</v>
      </c>
      <c r="L447" t="str">
        <f t="shared" si="5"/>
        <v>12.37107</v>
      </c>
      <c r="M447" t="str">
        <f t="shared" si="6"/>
        <v>382</v>
      </c>
      <c r="N447" t="s">
        <v>182</v>
      </c>
      <c r="O447" t="s">
        <v>833</v>
      </c>
      <c r="P447" t="s">
        <v>834</v>
      </c>
    </row>
    <row r="448" ht="15.75" customHeight="1">
      <c r="A448">
        <v>451.0</v>
      </c>
      <c r="B448">
        <v>32.0</v>
      </c>
      <c r="C448">
        <v>80.0</v>
      </c>
      <c r="D448">
        <v>3.0</v>
      </c>
      <c r="E448" t="str">
        <f t="shared" si="1"/>
        <v>3.34375</v>
      </c>
      <c r="F448">
        <v>10.0</v>
      </c>
      <c r="G448">
        <v>4.0</v>
      </c>
      <c r="H448" t="str">
        <f t="shared" si="2"/>
        <v>40</v>
      </c>
      <c r="I448">
        <v>105.0</v>
      </c>
      <c r="J448" t="str">
        <f t="shared" si="3"/>
        <v>333.375</v>
      </c>
      <c r="K448" t="str">
        <f t="shared" si="4"/>
        <v>1223.48625</v>
      </c>
      <c r="L448" t="str">
        <f t="shared" si="5"/>
        <v>3.058715625</v>
      </c>
      <c r="M448" t="str">
        <f t="shared" si="6"/>
        <v>367</v>
      </c>
      <c r="N448" t="s">
        <v>182</v>
      </c>
      <c r="O448" t="s">
        <v>835</v>
      </c>
      <c r="P448" t="s">
        <v>823</v>
      </c>
    </row>
    <row r="449" ht="15.75" customHeight="1">
      <c r="A449">
        <v>452.0</v>
      </c>
      <c r="B449">
        <v>30.0</v>
      </c>
      <c r="C449">
        <v>70.0</v>
      </c>
      <c r="D449">
        <v>3.0</v>
      </c>
      <c r="E449" t="str">
        <f t="shared" si="1"/>
        <v>5.670833333</v>
      </c>
      <c r="F449">
        <v>8.0</v>
      </c>
      <c r="G449">
        <v>6.0</v>
      </c>
      <c r="H449" t="str">
        <f t="shared" si="2"/>
        <v>48</v>
      </c>
      <c r="I449">
        <v>143.0</v>
      </c>
      <c r="J449" t="str">
        <f t="shared" si="3"/>
        <v>454.025</v>
      </c>
      <c r="K449" t="str">
        <f t="shared" si="4"/>
        <v>1275.81025</v>
      </c>
      <c r="L449" t="str">
        <f t="shared" si="5"/>
        <v>2.657938021</v>
      </c>
      <c r="M449" t="str">
        <f t="shared" si="6"/>
        <v>281</v>
      </c>
      <c r="N449" t="s">
        <v>182</v>
      </c>
      <c r="O449" t="s">
        <v>836</v>
      </c>
      <c r="P449" t="s">
        <v>823</v>
      </c>
    </row>
    <row r="450" ht="15.75" customHeight="1">
      <c r="A450">
        <v>453.0</v>
      </c>
      <c r="B450">
        <v>51.0</v>
      </c>
      <c r="C450">
        <v>30.0</v>
      </c>
      <c r="D450">
        <v>3.0</v>
      </c>
      <c r="E450" t="str">
        <f t="shared" si="1"/>
        <v>3.866666667</v>
      </c>
      <c r="F450">
        <v>5.0</v>
      </c>
      <c r="G450">
        <v>9.0</v>
      </c>
      <c r="H450" t="str">
        <f t="shared" si="2"/>
        <v>45</v>
      </c>
      <c r="I450">
        <v>96.0</v>
      </c>
      <c r="J450" t="str">
        <f t="shared" si="3"/>
        <v>304.8</v>
      </c>
      <c r="K450" t="str">
        <f t="shared" si="4"/>
        <v>874.776</v>
      </c>
      <c r="L450" t="str">
        <f t="shared" si="5"/>
        <v>1.943946667</v>
      </c>
      <c r="M450" t="str">
        <f t="shared" si="6"/>
        <v>287</v>
      </c>
      <c r="N450" t="s">
        <v>182</v>
      </c>
      <c r="O450" t="s">
        <v>837</v>
      </c>
      <c r="P450" t="s">
        <v>838</v>
      </c>
    </row>
    <row r="451" ht="15.75" customHeight="1">
      <c r="A451">
        <v>454.0</v>
      </c>
      <c r="B451">
        <v>75.0</v>
      </c>
      <c r="C451">
        <v>178.0</v>
      </c>
      <c r="D451">
        <v>3.0</v>
      </c>
      <c r="E451" t="str">
        <f t="shared" si="1"/>
        <v>8.266666667</v>
      </c>
      <c r="F451">
        <v>5.0</v>
      </c>
      <c r="G451">
        <v>3.0</v>
      </c>
      <c r="H451" t="str">
        <f t="shared" si="2"/>
        <v>15</v>
      </c>
      <c r="I451">
        <v>176.0</v>
      </c>
      <c r="J451" t="str">
        <f t="shared" si="3"/>
        <v>558.8</v>
      </c>
      <c r="K451" t="str">
        <f t="shared" si="4"/>
        <v>2274.316</v>
      </c>
      <c r="L451" t="str">
        <f t="shared" si="5"/>
        <v>15.16210667</v>
      </c>
      <c r="M451" t="str">
        <f t="shared" si="6"/>
        <v>407</v>
      </c>
      <c r="N451" t="s">
        <v>182</v>
      </c>
      <c r="O451" t="s">
        <v>839</v>
      </c>
      <c r="P451" t="s">
        <v>823</v>
      </c>
    </row>
    <row r="452" ht="15.75" customHeight="1">
      <c r="A452">
        <v>455.0</v>
      </c>
      <c r="B452">
        <v>80.0</v>
      </c>
      <c r="C452">
        <v>50.0</v>
      </c>
      <c r="D452">
        <v>5.0</v>
      </c>
      <c r="E452" t="str">
        <f t="shared" si="1"/>
        <v>3.578125</v>
      </c>
      <c r="F452">
        <v>2.0</v>
      </c>
      <c r="G452">
        <v>8.0</v>
      </c>
      <c r="H452" t="str">
        <f t="shared" si="2"/>
        <v>16</v>
      </c>
      <c r="I452">
        <v>135.0</v>
      </c>
      <c r="J452" t="str">
        <f t="shared" si="3"/>
        <v>428.625</v>
      </c>
      <c r="K452" t="str">
        <f t="shared" si="4"/>
        <v>801.52875</v>
      </c>
      <c r="L452" t="str">
        <f t="shared" si="5"/>
        <v>5.009554688</v>
      </c>
      <c r="M452" t="str">
        <f t="shared" si="6"/>
        <v>187</v>
      </c>
      <c r="N452" t="s">
        <v>182</v>
      </c>
      <c r="O452" t="s">
        <v>840</v>
      </c>
      <c r="P452" t="s">
        <v>830</v>
      </c>
    </row>
    <row r="453" ht="15.75" customHeight="1">
      <c r="A453">
        <v>456.0</v>
      </c>
      <c r="B453">
        <v>126.0</v>
      </c>
      <c r="C453">
        <v>140.0</v>
      </c>
      <c r="D453">
        <v>3.0</v>
      </c>
      <c r="E453" t="str">
        <f t="shared" si="1"/>
        <v>2.875</v>
      </c>
      <c r="F453">
        <v>2.0</v>
      </c>
      <c r="G453">
        <v>3.0</v>
      </c>
      <c r="H453" t="str">
        <f t="shared" si="2"/>
        <v>6</v>
      </c>
      <c r="I453">
        <v>135.0</v>
      </c>
      <c r="J453" t="str">
        <f t="shared" si="3"/>
        <v>428.625</v>
      </c>
      <c r="K453" t="str">
        <f t="shared" si="4"/>
        <v>1178.71875</v>
      </c>
      <c r="L453" t="str">
        <f t="shared" si="5"/>
        <v>19.6453125</v>
      </c>
      <c r="M453" t="str">
        <f t="shared" si="6"/>
        <v>275</v>
      </c>
      <c r="N453" t="s">
        <v>182</v>
      </c>
      <c r="O453" t="s">
        <v>841</v>
      </c>
      <c r="P453" t="s">
        <v>823</v>
      </c>
    </row>
    <row r="454" ht="15.75" customHeight="1">
      <c r="A454">
        <v>457.0</v>
      </c>
      <c r="B454">
        <v>156.0</v>
      </c>
      <c r="C454">
        <v>220.0</v>
      </c>
      <c r="D454">
        <v>3.0</v>
      </c>
      <c r="E454" t="str">
        <f t="shared" si="1"/>
        <v>7.0125</v>
      </c>
      <c r="F454">
        <v>2.0</v>
      </c>
      <c r="G454">
        <v>2.0</v>
      </c>
      <c r="H454" t="str">
        <f t="shared" si="2"/>
        <v>4</v>
      </c>
      <c r="I454">
        <v>143.0</v>
      </c>
      <c r="J454" t="str">
        <f t="shared" si="3"/>
        <v>454.025</v>
      </c>
      <c r="K454" t="str">
        <f t="shared" si="4"/>
        <v>1520.98375</v>
      </c>
      <c r="L454" t="str">
        <f t="shared" si="5"/>
        <v>38.02459375</v>
      </c>
      <c r="M454" t="str">
        <f t="shared" si="6"/>
        <v>335</v>
      </c>
      <c r="N454" t="s">
        <v>182</v>
      </c>
      <c r="O454" t="s">
        <v>842</v>
      </c>
      <c r="P454" t="s">
        <v>823</v>
      </c>
    </row>
    <row r="455" ht="15.75" customHeight="1">
      <c r="A455">
        <v>458.0</v>
      </c>
      <c r="B455">
        <v>205.0</v>
      </c>
      <c r="C455">
        <v>316.0</v>
      </c>
      <c r="D455">
        <v>3.0</v>
      </c>
      <c r="E455" t="str">
        <f t="shared" si="1"/>
        <v>7.85</v>
      </c>
      <c r="F455">
        <v>2.0</v>
      </c>
      <c r="G455">
        <v>1.0</v>
      </c>
      <c r="H455" t="str">
        <f t="shared" si="2"/>
        <v>2</v>
      </c>
      <c r="I455">
        <v>102.0</v>
      </c>
      <c r="J455" t="str">
        <f t="shared" si="3"/>
        <v>323.85</v>
      </c>
      <c r="K455" t="str">
        <f t="shared" si="4"/>
        <v>1402.2705</v>
      </c>
      <c r="L455" t="str">
        <f t="shared" si="5"/>
        <v>70.113525</v>
      </c>
      <c r="M455" t="str">
        <f t="shared" si="6"/>
        <v>433</v>
      </c>
      <c r="N455" t="s">
        <v>182</v>
      </c>
      <c r="O455" t="s">
        <v>843</v>
      </c>
      <c r="P455" t="s">
        <v>823</v>
      </c>
    </row>
    <row r="456" ht="15.75" customHeight="1">
      <c r="A456">
        <v>459.0</v>
      </c>
      <c r="B456">
        <v>197.0</v>
      </c>
      <c r="C456">
        <v>260.0</v>
      </c>
      <c r="D456">
        <v>3.0</v>
      </c>
      <c r="E456" t="str">
        <f t="shared" si="1"/>
        <v>19.4</v>
      </c>
      <c r="F456">
        <v>2.0</v>
      </c>
      <c r="G456">
        <v>2.0</v>
      </c>
      <c r="H456" t="str">
        <f t="shared" si="2"/>
        <v>4</v>
      </c>
      <c r="I456">
        <v>176.0</v>
      </c>
      <c r="J456" t="str">
        <f t="shared" si="3"/>
        <v>558.8</v>
      </c>
      <c r="K456" t="str">
        <f t="shared" si="4"/>
        <v>2330.196</v>
      </c>
      <c r="L456" t="str">
        <f t="shared" si="5"/>
        <v>58.2549</v>
      </c>
      <c r="M456" t="str">
        <f t="shared" si="6"/>
        <v>417</v>
      </c>
      <c r="N456" t="s">
        <v>182</v>
      </c>
      <c r="O456" t="s">
        <v>844</v>
      </c>
      <c r="P456" t="s">
        <v>823</v>
      </c>
    </row>
    <row r="457" ht="15.75" customHeight="1">
      <c r="A457">
        <v>460.0</v>
      </c>
      <c r="B457">
        <v>85.0</v>
      </c>
      <c r="C457">
        <v>147.0</v>
      </c>
      <c r="D457">
        <v>3.0</v>
      </c>
      <c r="E457" t="str">
        <f t="shared" si="1"/>
        <v>4.341666667</v>
      </c>
      <c r="F457">
        <v>4.0</v>
      </c>
      <c r="G457">
        <v>3.0</v>
      </c>
      <c r="H457" t="str">
        <f t="shared" si="2"/>
        <v>12</v>
      </c>
      <c r="I457">
        <v>143.0</v>
      </c>
      <c r="J457" t="str">
        <f t="shared" si="3"/>
        <v>454.025</v>
      </c>
      <c r="K457" t="str">
        <f t="shared" si="4"/>
        <v>1675.35225</v>
      </c>
      <c r="L457" t="str">
        <f t="shared" si="5"/>
        <v>13.96126875</v>
      </c>
      <c r="M457" t="str">
        <f t="shared" si="6"/>
        <v>369</v>
      </c>
      <c r="N457" t="s">
        <v>182</v>
      </c>
      <c r="O457" t="s">
        <v>845</v>
      </c>
      <c r="P457" t="s">
        <v>846</v>
      </c>
    </row>
    <row r="458" ht="15.75" customHeight="1">
      <c r="A458">
        <v>461.0</v>
      </c>
      <c r="B458">
        <v>58.0</v>
      </c>
      <c r="C458">
        <v>155.0</v>
      </c>
      <c r="D458">
        <v>3.0</v>
      </c>
      <c r="E458" t="str">
        <f t="shared" si="1"/>
        <v>6.925</v>
      </c>
      <c r="F458">
        <v>6.0</v>
      </c>
      <c r="G458">
        <v>3.0</v>
      </c>
      <c r="H458" t="str">
        <f t="shared" si="2"/>
        <v>18</v>
      </c>
      <c r="I458">
        <v>153.0</v>
      </c>
      <c r="J458" t="str">
        <f t="shared" si="3"/>
        <v>485.775</v>
      </c>
      <c r="K458" t="str">
        <f t="shared" si="4"/>
        <v>1860.51825</v>
      </c>
      <c r="L458" t="str">
        <f t="shared" si="5"/>
        <v>10.3362125</v>
      </c>
      <c r="M458" t="str">
        <f t="shared" si="6"/>
        <v>383</v>
      </c>
      <c r="N458" t="s">
        <v>182</v>
      </c>
      <c r="O458" t="s">
        <v>847</v>
      </c>
      <c r="P458" t="s">
        <v>848</v>
      </c>
    </row>
    <row r="459" ht="15.75" customHeight="1">
      <c r="A459">
        <v>462.0</v>
      </c>
      <c r="B459">
        <v>50.0</v>
      </c>
      <c r="C459">
        <v>155.0</v>
      </c>
      <c r="D459">
        <v>3.0</v>
      </c>
      <c r="E459" t="str">
        <f t="shared" si="1"/>
        <v>6.925</v>
      </c>
      <c r="F459">
        <v>7.0</v>
      </c>
      <c r="G459">
        <v>3.0</v>
      </c>
      <c r="H459" t="str">
        <f t="shared" si="2"/>
        <v>21</v>
      </c>
      <c r="I459">
        <v>153.0</v>
      </c>
      <c r="J459" t="str">
        <f t="shared" si="3"/>
        <v>485.775</v>
      </c>
      <c r="K459" t="str">
        <f t="shared" si="4"/>
        <v>1884.807</v>
      </c>
      <c r="L459" t="str">
        <f t="shared" si="5"/>
        <v>8.975271429</v>
      </c>
      <c r="M459" t="str">
        <f t="shared" si="6"/>
        <v>388</v>
      </c>
      <c r="N459" t="s">
        <v>182</v>
      </c>
      <c r="O459" t="s">
        <v>849</v>
      </c>
      <c r="P459" t="s">
        <v>823</v>
      </c>
    </row>
    <row r="460" ht="15.75" customHeight="1">
      <c r="A460">
        <v>463.0</v>
      </c>
      <c r="B460">
        <v>240.0</v>
      </c>
      <c r="C460">
        <v>136.0</v>
      </c>
      <c r="D460">
        <v>3.0</v>
      </c>
      <c r="E460" t="str">
        <f t="shared" si="1"/>
        <v>3.7</v>
      </c>
      <c r="F460">
        <v>1.0</v>
      </c>
      <c r="G460">
        <v>4.0</v>
      </c>
      <c r="H460" t="str">
        <f t="shared" si="2"/>
        <v>4</v>
      </c>
      <c r="I460">
        <v>176.0</v>
      </c>
      <c r="J460" t="str">
        <f t="shared" si="3"/>
        <v>558.8</v>
      </c>
      <c r="K460" t="str">
        <f t="shared" si="4"/>
        <v>1452.88</v>
      </c>
      <c r="L460" t="str">
        <f t="shared" si="5"/>
        <v>36.322</v>
      </c>
      <c r="M460" t="str">
        <f t="shared" si="6"/>
        <v>260</v>
      </c>
      <c r="N460" t="s">
        <v>182</v>
      </c>
      <c r="O460" t="s">
        <v>850</v>
      </c>
      <c r="P460" t="s">
        <v>851</v>
      </c>
    </row>
    <row r="461" ht="15.75" customHeight="1">
      <c r="A461">
        <v>464.0</v>
      </c>
      <c r="B461">
        <v>240.0</v>
      </c>
      <c r="C461">
        <v>136.0</v>
      </c>
      <c r="D461">
        <v>3.0</v>
      </c>
      <c r="E461" t="str">
        <f t="shared" si="1"/>
        <v>3.7</v>
      </c>
      <c r="F461">
        <v>1.0</v>
      </c>
      <c r="G461">
        <v>4.0</v>
      </c>
      <c r="H461" t="str">
        <f t="shared" si="2"/>
        <v>4</v>
      </c>
      <c r="I461">
        <v>176.0</v>
      </c>
      <c r="J461" t="str">
        <f t="shared" si="3"/>
        <v>558.8</v>
      </c>
      <c r="K461" t="str">
        <f t="shared" si="4"/>
        <v>1452.88</v>
      </c>
      <c r="L461" t="str">
        <f t="shared" si="5"/>
        <v>36.322</v>
      </c>
      <c r="M461" t="str">
        <f t="shared" si="6"/>
        <v>260</v>
      </c>
      <c r="N461" t="s">
        <v>182</v>
      </c>
      <c r="O461" t="s">
        <v>852</v>
      </c>
      <c r="P461" t="s">
        <v>853</v>
      </c>
    </row>
    <row r="462" ht="15.75" customHeight="1">
      <c r="A462">
        <v>465.0</v>
      </c>
      <c r="B462">
        <v>181.0</v>
      </c>
      <c r="C462">
        <v>57.0</v>
      </c>
      <c r="D462">
        <v>5.0</v>
      </c>
      <c r="E462" t="str">
        <f t="shared" si="1"/>
        <v>3.96</v>
      </c>
      <c r="F462">
        <v>2.0</v>
      </c>
      <c r="G462">
        <v>5.0</v>
      </c>
      <c r="H462" t="str">
        <f t="shared" si="2"/>
        <v>10</v>
      </c>
      <c r="I462">
        <v>96.0</v>
      </c>
      <c r="J462" t="str">
        <f t="shared" si="3"/>
        <v>304.8</v>
      </c>
      <c r="K462" t="str">
        <f t="shared" si="4"/>
        <v>1185.672</v>
      </c>
      <c r="L462" t="str">
        <f t="shared" si="5"/>
        <v>11.85672</v>
      </c>
      <c r="M462" t="str">
        <f t="shared" si="6"/>
        <v>389</v>
      </c>
      <c r="N462" t="s">
        <v>182</v>
      </c>
      <c r="O462" t="s">
        <v>854</v>
      </c>
      <c r="P462" t="s">
        <v>855</v>
      </c>
    </row>
    <row r="463" ht="15.75" customHeight="1">
      <c r="A463">
        <v>466.0</v>
      </c>
      <c r="B463">
        <v>142.0</v>
      </c>
      <c r="C463">
        <v>44.0</v>
      </c>
      <c r="D463">
        <v>5.0</v>
      </c>
      <c r="E463" t="str">
        <f t="shared" si="1"/>
        <v>3.625</v>
      </c>
      <c r="F463">
        <v>2.0</v>
      </c>
      <c r="G463">
        <v>8.0</v>
      </c>
      <c r="H463" t="str">
        <f t="shared" si="2"/>
        <v>16</v>
      </c>
      <c r="I463">
        <v>120.0</v>
      </c>
      <c r="J463" t="str">
        <f t="shared" si="3"/>
        <v>381</v>
      </c>
      <c r="K463" t="str">
        <f t="shared" si="4"/>
        <v>1184.91</v>
      </c>
      <c r="L463" t="str">
        <f t="shared" si="5"/>
        <v>7.4056875</v>
      </c>
      <c r="M463" t="str">
        <f t="shared" si="6"/>
        <v>311</v>
      </c>
      <c r="N463" t="s">
        <v>182</v>
      </c>
      <c r="O463" t="s">
        <v>856</v>
      </c>
      <c r="P463" t="s">
        <v>857</v>
      </c>
    </row>
    <row r="464" ht="15.75" customHeight="1">
      <c r="A464">
        <v>467.0</v>
      </c>
      <c r="B464">
        <v>138.0</v>
      </c>
      <c r="C464">
        <v>30.0</v>
      </c>
      <c r="D464">
        <v>4.0</v>
      </c>
      <c r="E464" t="str">
        <f t="shared" si="1"/>
        <v>3.3375</v>
      </c>
      <c r="F464">
        <v>2.0</v>
      </c>
      <c r="G464">
        <v>10.0</v>
      </c>
      <c r="H464" t="str">
        <f t="shared" si="2"/>
        <v>20</v>
      </c>
      <c r="I464">
        <v>105.0</v>
      </c>
      <c r="J464" t="str">
        <f t="shared" si="3"/>
        <v>333.375</v>
      </c>
      <c r="K464" t="str">
        <f t="shared" si="4"/>
        <v>1003.45875</v>
      </c>
      <c r="L464" t="str">
        <f t="shared" si="5"/>
        <v>5.01729375</v>
      </c>
      <c r="M464" t="str">
        <f t="shared" si="6"/>
        <v>301</v>
      </c>
      <c r="N464" t="s">
        <v>182</v>
      </c>
      <c r="O464" t="s">
        <v>858</v>
      </c>
      <c r="P464" t="s">
        <v>859</v>
      </c>
    </row>
    <row r="465" ht="15.75" customHeight="1">
      <c r="A465">
        <v>468.0</v>
      </c>
      <c r="B465">
        <v>200.0</v>
      </c>
      <c r="C465">
        <v>40.0</v>
      </c>
      <c r="D465">
        <v>4.0</v>
      </c>
      <c r="E465" t="str">
        <f t="shared" si="1"/>
        <v>3.542857143</v>
      </c>
      <c r="F465">
        <v>2.0</v>
      </c>
      <c r="G465">
        <v>7.0</v>
      </c>
      <c r="H465" t="str">
        <f t="shared" si="2"/>
        <v>14</v>
      </c>
      <c r="I465">
        <v>96.0</v>
      </c>
      <c r="J465" t="str">
        <f t="shared" si="3"/>
        <v>304.8</v>
      </c>
      <c r="K465" t="str">
        <f t="shared" si="4"/>
        <v>1295.4</v>
      </c>
      <c r="L465" t="str">
        <f t="shared" si="5"/>
        <v>9.252857143</v>
      </c>
      <c r="M465" t="str">
        <f t="shared" si="6"/>
        <v>425</v>
      </c>
      <c r="N465" t="s">
        <v>182</v>
      </c>
      <c r="O465" t="s">
        <v>860</v>
      </c>
      <c r="P465" t="s">
        <v>861</v>
      </c>
    </row>
    <row r="466" ht="15.75" customHeight="1">
      <c r="A466">
        <v>469.0</v>
      </c>
      <c r="B466">
        <v>284.0</v>
      </c>
      <c r="C466">
        <v>120.0</v>
      </c>
      <c r="D466">
        <v>6.0</v>
      </c>
      <c r="E466" t="str">
        <f t="shared" si="1"/>
        <v>7</v>
      </c>
      <c r="F466">
        <v>1.0</v>
      </c>
      <c r="G466">
        <v>3.0</v>
      </c>
      <c r="H466" t="str">
        <f t="shared" si="2"/>
        <v>3</v>
      </c>
      <c r="I466">
        <v>120.0</v>
      </c>
      <c r="J466" t="str">
        <f t="shared" si="3"/>
        <v>381</v>
      </c>
      <c r="K466" t="str">
        <f t="shared" si="4"/>
        <v>1169.67</v>
      </c>
      <c r="L466" t="str">
        <f t="shared" si="5"/>
        <v>38.989</v>
      </c>
      <c r="M466" t="str">
        <f t="shared" si="6"/>
        <v>307</v>
      </c>
      <c r="N466" t="s">
        <v>182</v>
      </c>
      <c r="O466" t="s">
        <v>862</v>
      </c>
      <c r="P466" s="126" t="s">
        <v>863</v>
      </c>
    </row>
    <row r="467" ht="15.75" customHeight="1">
      <c r="A467">
        <v>470.0</v>
      </c>
      <c r="B467">
        <v>30.0</v>
      </c>
      <c r="C467">
        <v>115.0</v>
      </c>
      <c r="D467">
        <v>3.0</v>
      </c>
      <c r="E467" t="str">
        <f t="shared" si="1"/>
        <v>6.44375</v>
      </c>
      <c r="F467">
        <v>7.0</v>
      </c>
      <c r="G467">
        <v>4.0</v>
      </c>
      <c r="H467" t="str">
        <f t="shared" si="2"/>
        <v>28</v>
      </c>
      <c r="I467">
        <v>153.0</v>
      </c>
      <c r="J467" t="str">
        <f t="shared" si="3"/>
        <v>485.775</v>
      </c>
      <c r="K467" t="str">
        <f t="shared" si="4"/>
        <v>1204.722</v>
      </c>
      <c r="L467" t="str">
        <f t="shared" si="5"/>
        <v>4.302578571</v>
      </c>
      <c r="M467" t="str">
        <f t="shared" si="6"/>
        <v>248</v>
      </c>
      <c r="N467" t="s">
        <v>182</v>
      </c>
      <c r="O467" t="s">
        <v>864</v>
      </c>
      <c r="P467" t="s">
        <v>823</v>
      </c>
    </row>
    <row r="468" ht="15.75" customHeight="1">
      <c r="A468">
        <v>471.0</v>
      </c>
      <c r="B468">
        <v>52.0</v>
      </c>
      <c r="C468">
        <v>135.0</v>
      </c>
      <c r="D468">
        <v>3.0</v>
      </c>
      <c r="E468" t="str">
        <f t="shared" si="1"/>
        <v>4.7</v>
      </c>
      <c r="F468">
        <v>5.0</v>
      </c>
      <c r="G468">
        <v>4.0</v>
      </c>
      <c r="H468" t="str">
        <f t="shared" si="2"/>
        <v>20</v>
      </c>
      <c r="I468">
        <v>176.0</v>
      </c>
      <c r="J468" t="str">
        <f t="shared" si="3"/>
        <v>558.8</v>
      </c>
      <c r="K468" t="str">
        <f t="shared" si="4"/>
        <v>1631.696</v>
      </c>
      <c r="L468" t="str">
        <f t="shared" si="5"/>
        <v>8.15848</v>
      </c>
      <c r="M468" t="str">
        <f t="shared" si="6"/>
        <v>292</v>
      </c>
      <c r="N468" t="s">
        <v>182</v>
      </c>
      <c r="O468" t="s">
        <v>865</v>
      </c>
      <c r="P468" t="s">
        <v>866</v>
      </c>
    </row>
    <row r="469" ht="15.75" customHeight="1">
      <c r="A469">
        <v>472.0</v>
      </c>
      <c r="B469">
        <v>71.0</v>
      </c>
      <c r="C469">
        <v>180.0</v>
      </c>
      <c r="D469">
        <v>3.0</v>
      </c>
      <c r="E469" t="str">
        <f t="shared" si="1"/>
        <v>6.266666667</v>
      </c>
      <c r="F469">
        <v>3.0</v>
      </c>
      <c r="G469">
        <v>3.0</v>
      </c>
      <c r="H469" t="str">
        <f t="shared" si="2"/>
        <v>9</v>
      </c>
      <c r="I469">
        <v>176.0</v>
      </c>
      <c r="J469" t="str">
        <f t="shared" si="3"/>
        <v>558.8</v>
      </c>
      <c r="K469" t="str">
        <f t="shared" si="4"/>
        <v>1335.532</v>
      </c>
      <c r="L469" t="str">
        <f t="shared" si="5"/>
        <v>14.83924444</v>
      </c>
      <c r="M469" t="str">
        <f t="shared" si="6"/>
        <v>239</v>
      </c>
      <c r="N469" t="s">
        <v>182</v>
      </c>
      <c r="O469" t="s">
        <v>867</v>
      </c>
      <c r="P469" t="s">
        <v>823</v>
      </c>
    </row>
    <row r="470" ht="15.75" customHeight="1">
      <c r="A470">
        <v>473.0</v>
      </c>
      <c r="B470">
        <v>161.0</v>
      </c>
      <c r="C470">
        <v>70.0</v>
      </c>
      <c r="D470">
        <v>5.0</v>
      </c>
      <c r="E470" t="str">
        <f t="shared" si="1"/>
        <v>5.670833333</v>
      </c>
      <c r="F470">
        <v>2.0</v>
      </c>
      <c r="G470">
        <v>6.0</v>
      </c>
      <c r="H470" t="str">
        <f t="shared" si="2"/>
        <v>12</v>
      </c>
      <c r="I470">
        <v>143.0</v>
      </c>
      <c r="J470" t="str">
        <f t="shared" si="3"/>
        <v>454.025</v>
      </c>
      <c r="K470" t="str">
        <f t="shared" si="4"/>
        <v>1584.54725</v>
      </c>
      <c r="L470" t="str">
        <f t="shared" si="5"/>
        <v>13.20456042</v>
      </c>
      <c r="M470" t="str">
        <f t="shared" si="6"/>
        <v>349</v>
      </c>
      <c r="N470" t="s">
        <v>182</v>
      </c>
      <c r="O470" t="s">
        <v>868</v>
      </c>
      <c r="P470" t="s">
        <v>869</v>
      </c>
    </row>
    <row r="471" ht="15.75" customHeight="1">
      <c r="A471">
        <v>474.0</v>
      </c>
      <c r="B471">
        <v>90.0</v>
      </c>
      <c r="C471">
        <v>70.0</v>
      </c>
      <c r="D471">
        <v>5.0</v>
      </c>
      <c r="E471" t="str">
        <f t="shared" si="1"/>
        <v>5.670833333</v>
      </c>
      <c r="F471">
        <v>4.0</v>
      </c>
      <c r="G471">
        <v>6.0</v>
      </c>
      <c r="H471" t="str">
        <f t="shared" si="2"/>
        <v>24</v>
      </c>
      <c r="I471">
        <v>143.0</v>
      </c>
      <c r="J471" t="str">
        <f t="shared" si="3"/>
        <v>454.025</v>
      </c>
      <c r="K471" t="str">
        <f t="shared" si="4"/>
        <v>1802.47925</v>
      </c>
      <c r="L471" t="str">
        <f t="shared" si="5"/>
        <v>7.510330208</v>
      </c>
      <c r="M471" t="str">
        <f t="shared" si="6"/>
        <v>397</v>
      </c>
      <c r="N471" t="s">
        <v>182</v>
      </c>
      <c r="O471" t="s">
        <v>870</v>
      </c>
      <c r="P471" t="s">
        <v>871</v>
      </c>
    </row>
    <row r="472" ht="15.75" customHeight="1">
      <c r="A472">
        <v>475.0</v>
      </c>
      <c r="B472">
        <v>109.0</v>
      </c>
      <c r="C472">
        <v>73.0</v>
      </c>
      <c r="D472">
        <v>4.0</v>
      </c>
      <c r="E472" t="str">
        <f t="shared" si="1"/>
        <v>3.2</v>
      </c>
      <c r="F472">
        <v>1.0</v>
      </c>
      <c r="G472">
        <v>4.0</v>
      </c>
      <c r="H472" t="str">
        <f t="shared" si="2"/>
        <v>4</v>
      </c>
      <c r="I472">
        <v>96.0</v>
      </c>
      <c r="J472" t="str">
        <f t="shared" si="3"/>
        <v>304.8</v>
      </c>
      <c r="K472" t="str">
        <f t="shared" si="4"/>
        <v>396.24</v>
      </c>
      <c r="L472" t="str">
        <f t="shared" si="5"/>
        <v>9.906</v>
      </c>
      <c r="M472" t="str">
        <f t="shared" si="6"/>
        <v>130</v>
      </c>
      <c r="N472" t="s">
        <v>182</v>
      </c>
      <c r="O472" t="s">
        <v>872</v>
      </c>
      <c r="P472" t="s">
        <v>873</v>
      </c>
    </row>
    <row r="473" ht="15.75" customHeight="1">
      <c r="A473">
        <v>476.0</v>
      </c>
      <c r="B473">
        <v>145.0</v>
      </c>
      <c r="C473">
        <v>145.0</v>
      </c>
      <c r="D473">
        <v>3.0</v>
      </c>
      <c r="E473" t="str">
        <f t="shared" si="1"/>
        <v>6.341666667</v>
      </c>
      <c r="F473">
        <v>2.0</v>
      </c>
      <c r="G473">
        <v>3.0</v>
      </c>
      <c r="H473" t="str">
        <f t="shared" si="2"/>
        <v>6</v>
      </c>
      <c r="I473">
        <v>143.0</v>
      </c>
      <c r="J473" t="str">
        <f t="shared" si="3"/>
        <v>454.025</v>
      </c>
      <c r="K473" t="str">
        <f t="shared" si="4"/>
        <v>1421.09825</v>
      </c>
      <c r="L473" t="str">
        <f t="shared" si="5"/>
        <v>23.68497083</v>
      </c>
      <c r="M473" t="str">
        <f t="shared" si="6"/>
        <v>313</v>
      </c>
      <c r="N473" t="s">
        <v>182</v>
      </c>
      <c r="O473" t="s">
        <v>874</v>
      </c>
      <c r="P473" t="s">
        <v>823</v>
      </c>
    </row>
    <row r="474" ht="15.75" customHeight="1">
      <c r="A474">
        <v>477.0</v>
      </c>
      <c r="B474">
        <v>50.0</v>
      </c>
      <c r="C474">
        <v>60.0</v>
      </c>
      <c r="D474">
        <v>3.0</v>
      </c>
      <c r="E474" t="str">
        <f t="shared" si="1"/>
        <v>3.5</v>
      </c>
      <c r="F474">
        <v>7.0</v>
      </c>
      <c r="G474">
        <v>6.0</v>
      </c>
      <c r="H474" t="str">
        <f t="shared" si="2"/>
        <v>42</v>
      </c>
      <c r="I474">
        <v>120.0</v>
      </c>
      <c r="J474" t="str">
        <f t="shared" si="3"/>
        <v>381</v>
      </c>
      <c r="K474" t="str">
        <f t="shared" si="4"/>
        <v>1478.28</v>
      </c>
      <c r="L474" t="str">
        <f t="shared" si="5"/>
        <v>3.519714286</v>
      </c>
      <c r="M474" t="str">
        <f t="shared" si="6"/>
        <v>388</v>
      </c>
      <c r="N474" t="s">
        <v>182</v>
      </c>
      <c r="O474" t="s">
        <v>875</v>
      </c>
      <c r="P474" t="s">
        <v>823</v>
      </c>
    </row>
    <row r="475" ht="15.75" customHeight="1">
      <c r="A475">
        <v>478.0</v>
      </c>
      <c r="B475">
        <v>88.0</v>
      </c>
      <c r="C475">
        <v>158.0</v>
      </c>
      <c r="D475">
        <v>3.0</v>
      </c>
      <c r="E475" t="str">
        <f t="shared" si="1"/>
        <v>3.925</v>
      </c>
      <c r="F475">
        <v>2.0</v>
      </c>
      <c r="G475">
        <v>2.0</v>
      </c>
      <c r="H475" t="str">
        <f t="shared" si="2"/>
        <v>4</v>
      </c>
      <c r="I475">
        <v>102.0</v>
      </c>
      <c r="J475" t="str">
        <f t="shared" si="3"/>
        <v>323.85</v>
      </c>
      <c r="K475" t="str">
        <f t="shared" si="4"/>
        <v>644.4615</v>
      </c>
      <c r="L475" t="str">
        <f t="shared" si="5"/>
        <v>16.1115375</v>
      </c>
      <c r="M475" t="str">
        <f t="shared" si="6"/>
        <v>199</v>
      </c>
      <c r="N475" t="s">
        <v>182</v>
      </c>
      <c r="O475" t="s">
        <v>876</v>
      </c>
      <c r="P475" t="s">
        <v>877</v>
      </c>
    </row>
    <row r="476" ht="15.75" customHeight="1">
      <c r="A476">
        <v>479.0</v>
      </c>
      <c r="B476">
        <v>173.0</v>
      </c>
      <c r="C476">
        <v>69.0</v>
      </c>
      <c r="D476">
        <v>3.0</v>
      </c>
      <c r="E476" t="str">
        <f t="shared" si="1"/>
        <v>2.4375</v>
      </c>
      <c r="F476">
        <v>4.0</v>
      </c>
      <c r="G476">
        <v>6.0</v>
      </c>
      <c r="H476" t="str">
        <f t="shared" si="2"/>
        <v>24</v>
      </c>
      <c r="I476">
        <v>135.0</v>
      </c>
      <c r="J476" t="str">
        <f t="shared" si="3"/>
        <v>428.625</v>
      </c>
      <c r="K476" t="str">
        <f t="shared" si="4"/>
        <v>3090.38625</v>
      </c>
      <c r="L476" t="str">
        <f t="shared" si="5"/>
        <v>12.87660938</v>
      </c>
      <c r="M476" t="str">
        <f t="shared" si="6"/>
        <v>721</v>
      </c>
      <c r="N476" t="s">
        <v>182</v>
      </c>
      <c r="O476" t="s">
        <v>878</v>
      </c>
      <c r="P476" t="s">
        <v>879</v>
      </c>
    </row>
    <row r="477" ht="15.75" customHeight="1">
      <c r="A477">
        <v>480.0</v>
      </c>
      <c r="B477">
        <v>90.0</v>
      </c>
      <c r="C477">
        <v>95.0</v>
      </c>
      <c r="D477">
        <v>5.0</v>
      </c>
      <c r="E477" t="str">
        <f t="shared" si="1"/>
        <v>5.0125</v>
      </c>
      <c r="F477">
        <v>3.0</v>
      </c>
      <c r="G477">
        <v>4.0</v>
      </c>
      <c r="H477" t="str">
        <f t="shared" si="2"/>
        <v>12</v>
      </c>
      <c r="I477">
        <v>126.0</v>
      </c>
      <c r="J477" t="str">
        <f t="shared" si="3"/>
        <v>400.05</v>
      </c>
      <c r="K477" t="str">
        <f t="shared" si="4"/>
        <v>1208.151</v>
      </c>
      <c r="L477" t="str">
        <f t="shared" si="5"/>
        <v>10.067925</v>
      </c>
      <c r="M477" t="str">
        <f t="shared" si="6"/>
        <v>302</v>
      </c>
      <c r="N477" t="s">
        <v>182</v>
      </c>
      <c r="O477" t="s">
        <v>880</v>
      </c>
      <c r="P477" t="s">
        <v>881</v>
      </c>
    </row>
    <row r="478" ht="15.75" customHeight="1">
      <c r="A478">
        <v>481.0</v>
      </c>
      <c r="B478">
        <v>135.0</v>
      </c>
      <c r="C478">
        <v>104.0</v>
      </c>
      <c r="D478">
        <v>5.0</v>
      </c>
      <c r="E478" t="str">
        <f t="shared" si="1"/>
        <v>3.15625</v>
      </c>
      <c r="F478">
        <v>2.0</v>
      </c>
      <c r="G478">
        <v>4.0</v>
      </c>
      <c r="H478" t="str">
        <f t="shared" si="2"/>
        <v>8</v>
      </c>
      <c r="I478">
        <v>135.0</v>
      </c>
      <c r="J478" t="str">
        <f t="shared" si="3"/>
        <v>428.625</v>
      </c>
      <c r="K478" t="str">
        <f t="shared" si="4"/>
        <v>1273.01625</v>
      </c>
      <c r="L478" t="str">
        <f t="shared" si="5"/>
        <v>15.91270313</v>
      </c>
      <c r="M478" t="str">
        <f t="shared" si="6"/>
        <v>297</v>
      </c>
      <c r="N478" t="s">
        <v>182</v>
      </c>
      <c r="O478" t="s">
        <v>882</v>
      </c>
      <c r="P478" t="s">
        <v>883</v>
      </c>
    </row>
    <row r="479" ht="15.75" customHeight="1">
      <c r="A479">
        <v>482.0</v>
      </c>
      <c r="B479">
        <v>74.0</v>
      </c>
      <c r="C479">
        <v>65.0</v>
      </c>
      <c r="D479">
        <v>3.0</v>
      </c>
      <c r="E479" t="str">
        <f t="shared" si="1"/>
        <v>3.58</v>
      </c>
      <c r="F479">
        <v>5.0</v>
      </c>
      <c r="G479">
        <v>5.0</v>
      </c>
      <c r="H479" t="str">
        <f t="shared" si="2"/>
        <v>25</v>
      </c>
      <c r="I479">
        <v>108.0</v>
      </c>
      <c r="J479" t="str">
        <f t="shared" si="3"/>
        <v>342.9</v>
      </c>
      <c r="K479" t="str">
        <f t="shared" si="4"/>
        <v>1378.458</v>
      </c>
      <c r="L479" t="str">
        <f t="shared" si="5"/>
        <v>5.513832</v>
      </c>
      <c r="M479" t="str">
        <f t="shared" si="6"/>
        <v>402</v>
      </c>
      <c r="N479" t="s">
        <v>182</v>
      </c>
      <c r="O479" t="s">
        <v>884</v>
      </c>
      <c r="P479" t="s">
        <v>885</v>
      </c>
    </row>
    <row r="480" ht="15.75" customHeight="1">
      <c r="A480">
        <v>483.0</v>
      </c>
      <c r="B480">
        <v>105.0</v>
      </c>
      <c r="C480">
        <v>145.0</v>
      </c>
      <c r="D480">
        <v>3.0</v>
      </c>
      <c r="E480" t="str">
        <f t="shared" si="1"/>
        <v>6.341666667</v>
      </c>
      <c r="F480">
        <v>2.0</v>
      </c>
      <c r="G480">
        <v>3.0</v>
      </c>
      <c r="H480" t="str">
        <f t="shared" si="2"/>
        <v>6</v>
      </c>
      <c r="I480">
        <v>143.0</v>
      </c>
      <c r="J480" t="str">
        <f t="shared" si="3"/>
        <v>454.025</v>
      </c>
      <c r="K480" t="str">
        <f t="shared" si="4"/>
        <v>1057.87825</v>
      </c>
      <c r="L480" t="str">
        <f t="shared" si="5"/>
        <v>17.63130417</v>
      </c>
      <c r="M480" t="str">
        <f t="shared" si="6"/>
        <v>233</v>
      </c>
      <c r="N480" t="s">
        <v>182</v>
      </c>
      <c r="O480" t="s">
        <v>886</v>
      </c>
      <c r="P480" t="s">
        <v>887</v>
      </c>
    </row>
    <row r="481" ht="15.75" customHeight="1">
      <c r="A481">
        <v>484.0</v>
      </c>
      <c r="B481">
        <v>80.0</v>
      </c>
      <c r="C481">
        <v>180.0</v>
      </c>
      <c r="D481">
        <v>5.0</v>
      </c>
      <c r="E481" t="str">
        <f t="shared" si="1"/>
        <v>6.266666667</v>
      </c>
      <c r="F481">
        <v>4.0</v>
      </c>
      <c r="G481">
        <v>3.0</v>
      </c>
      <c r="H481" t="str">
        <f t="shared" si="2"/>
        <v>12</v>
      </c>
      <c r="I481">
        <v>176.0</v>
      </c>
      <c r="J481" t="str">
        <f t="shared" si="3"/>
        <v>558.8</v>
      </c>
      <c r="K481" t="str">
        <f t="shared" si="4"/>
        <v>1994.916</v>
      </c>
      <c r="L481" t="str">
        <f t="shared" si="5"/>
        <v>16.6243</v>
      </c>
      <c r="M481" t="str">
        <f t="shared" si="6"/>
        <v>357</v>
      </c>
      <c r="N481" t="s">
        <v>182</v>
      </c>
      <c r="O481" t="s">
        <v>888</v>
      </c>
      <c r="P481" t="s">
        <v>889</v>
      </c>
    </row>
    <row r="482" ht="15.75" customHeight="1">
      <c r="A482">
        <v>485.0</v>
      </c>
      <c r="B482">
        <v>62.0</v>
      </c>
      <c r="C482">
        <v>62.0</v>
      </c>
      <c r="D482">
        <v>3.0</v>
      </c>
      <c r="E482" t="str">
        <f t="shared" si="1"/>
        <v>2.77</v>
      </c>
      <c r="F482">
        <v>5.0</v>
      </c>
      <c r="G482">
        <v>5.0</v>
      </c>
      <c r="H482" t="str">
        <f t="shared" si="2"/>
        <v>25</v>
      </c>
      <c r="I482">
        <v>102.0</v>
      </c>
      <c r="J482" t="str">
        <f t="shared" si="3"/>
        <v>323.85</v>
      </c>
      <c r="K482" t="str">
        <f t="shared" si="4"/>
        <v>1107.567</v>
      </c>
      <c r="L482" t="str">
        <f t="shared" si="5"/>
        <v>4.430268</v>
      </c>
      <c r="M482" t="str">
        <f t="shared" si="6"/>
        <v>342</v>
      </c>
      <c r="N482" t="s">
        <v>182</v>
      </c>
      <c r="O482" t="s">
        <v>890</v>
      </c>
      <c r="P482" t="s">
        <v>891</v>
      </c>
    </row>
    <row r="483" ht="15.75" customHeight="1">
      <c r="A483">
        <v>486.0</v>
      </c>
      <c r="B483">
        <v>38.0</v>
      </c>
      <c r="C483">
        <v>90.0</v>
      </c>
      <c r="D483">
        <v>3.0</v>
      </c>
      <c r="E483" t="str">
        <f t="shared" si="1"/>
        <v>3.133333333</v>
      </c>
      <c r="F483">
        <v>6.0</v>
      </c>
      <c r="G483">
        <v>6.0</v>
      </c>
      <c r="H483" t="str">
        <f t="shared" si="2"/>
        <v>36</v>
      </c>
      <c r="I483">
        <v>176.0</v>
      </c>
      <c r="J483" t="str">
        <f t="shared" si="3"/>
        <v>558.8</v>
      </c>
      <c r="K483" t="str">
        <f t="shared" si="4"/>
        <v>1469.644</v>
      </c>
      <c r="L483" t="str">
        <f t="shared" si="5"/>
        <v>4.082344444</v>
      </c>
      <c r="M483" t="str">
        <f t="shared" si="6"/>
        <v>263</v>
      </c>
      <c r="N483" t="s">
        <v>182</v>
      </c>
      <c r="O483" t="s">
        <v>892</v>
      </c>
      <c r="P483" t="s">
        <v>893</v>
      </c>
    </row>
    <row r="484" ht="15.75" customHeight="1">
      <c r="A484">
        <v>487.0</v>
      </c>
      <c r="B484">
        <v>17.0</v>
      </c>
      <c r="C484">
        <v>32.0</v>
      </c>
      <c r="D484">
        <v>3.0</v>
      </c>
      <c r="E484" t="str">
        <f t="shared" si="1"/>
        <v>2.636363636</v>
      </c>
      <c r="F484">
        <v>16.0</v>
      </c>
      <c r="G484">
        <v>11.0</v>
      </c>
      <c r="H484" t="str">
        <f t="shared" si="2"/>
        <v>176</v>
      </c>
      <c r="I484">
        <v>120.0</v>
      </c>
      <c r="J484" t="str">
        <f t="shared" si="3"/>
        <v>381</v>
      </c>
      <c r="K484" t="str">
        <f t="shared" si="4"/>
        <v>1283.97</v>
      </c>
      <c r="L484" t="str">
        <f t="shared" si="5"/>
        <v>0.7295284091</v>
      </c>
      <c r="M484" t="str">
        <f t="shared" si="6"/>
        <v>337</v>
      </c>
      <c r="N484" t="s">
        <v>182</v>
      </c>
      <c r="O484" t="s">
        <v>894</v>
      </c>
      <c r="P484" t="s">
        <v>895</v>
      </c>
    </row>
    <row r="485" ht="15.75" customHeight="1">
      <c r="A485">
        <v>488.0</v>
      </c>
      <c r="B485">
        <v>30.0</v>
      </c>
      <c r="C485">
        <v>210.0</v>
      </c>
      <c r="D485">
        <v>3.0</v>
      </c>
      <c r="E485" t="str">
        <f t="shared" si="1"/>
        <v>4.3125</v>
      </c>
      <c r="F485">
        <v>11.0</v>
      </c>
      <c r="G485">
        <v>2.0</v>
      </c>
      <c r="H485" t="str">
        <f t="shared" si="2"/>
        <v>22</v>
      </c>
      <c r="I485">
        <v>135.0</v>
      </c>
      <c r="J485" t="str">
        <f t="shared" si="3"/>
        <v>428.625</v>
      </c>
      <c r="K485" t="str">
        <f t="shared" si="4"/>
        <v>1628.775</v>
      </c>
      <c r="L485" t="str">
        <f t="shared" si="5"/>
        <v>7.403522727</v>
      </c>
      <c r="M485" t="str">
        <f t="shared" si="6"/>
        <v>380</v>
      </c>
      <c r="N485" t="s">
        <v>182</v>
      </c>
      <c r="O485" t="s">
        <v>896</v>
      </c>
      <c r="P485" t="s">
        <v>897</v>
      </c>
    </row>
    <row r="486" ht="15.75" customHeight="1">
      <c r="A486">
        <v>489.0</v>
      </c>
      <c r="B486">
        <v>75.0</v>
      </c>
      <c r="C486">
        <v>505.0</v>
      </c>
      <c r="D486">
        <v>5.0</v>
      </c>
      <c r="E486" t="str">
        <f t="shared" si="1"/>
        <v>53.8</v>
      </c>
      <c r="F486">
        <v>4.0</v>
      </c>
      <c r="G486">
        <v>1.0</v>
      </c>
      <c r="H486" t="str">
        <f t="shared" si="2"/>
        <v>4</v>
      </c>
      <c r="I486">
        <v>176.0</v>
      </c>
      <c r="J486" t="str">
        <f t="shared" si="3"/>
        <v>558.8</v>
      </c>
      <c r="K486" t="str">
        <f t="shared" si="4"/>
        <v>1883.156</v>
      </c>
      <c r="L486" t="str">
        <f t="shared" si="5"/>
        <v>47.0789</v>
      </c>
      <c r="M486" t="str">
        <f t="shared" si="6"/>
        <v>337</v>
      </c>
      <c r="N486" t="s">
        <v>182</v>
      </c>
      <c r="O486" t="s">
        <v>898</v>
      </c>
      <c r="P486" t="s">
        <v>899</v>
      </c>
    </row>
    <row r="487" ht="15.75" customHeight="1">
      <c r="A487">
        <v>490.0</v>
      </c>
      <c r="B487">
        <v>102.0</v>
      </c>
      <c r="C487">
        <v>75.0</v>
      </c>
      <c r="D487">
        <v>5.0</v>
      </c>
      <c r="E487" t="str">
        <f t="shared" si="1"/>
        <v>2.7875</v>
      </c>
      <c r="F487">
        <v>2.0</v>
      </c>
      <c r="G487">
        <v>4.0</v>
      </c>
      <c r="H487" t="str">
        <f t="shared" si="2"/>
        <v>8</v>
      </c>
      <c r="I487">
        <v>98.0</v>
      </c>
      <c r="J487" t="str">
        <f t="shared" si="3"/>
        <v>311.15</v>
      </c>
      <c r="K487" t="str">
        <f t="shared" si="4"/>
        <v>718.7565</v>
      </c>
      <c r="L487" t="str">
        <f t="shared" si="5"/>
        <v>8.98445625</v>
      </c>
      <c r="M487" t="str">
        <f t="shared" si="6"/>
        <v>231</v>
      </c>
      <c r="N487" t="s">
        <v>182</v>
      </c>
      <c r="O487" t="s">
        <v>900</v>
      </c>
      <c r="P487" t="s">
        <v>901</v>
      </c>
    </row>
    <row r="488" ht="15.75" customHeight="1">
      <c r="A488">
        <v>491.0</v>
      </c>
      <c r="B488">
        <v>48.0</v>
      </c>
      <c r="C488">
        <v>110.0</v>
      </c>
      <c r="D488">
        <v>3.0</v>
      </c>
      <c r="E488" t="str">
        <f t="shared" si="1"/>
        <v>4.3</v>
      </c>
      <c r="F488">
        <v>8.0</v>
      </c>
      <c r="G488">
        <v>3.0</v>
      </c>
      <c r="H488" t="str">
        <f t="shared" si="2"/>
        <v>24</v>
      </c>
      <c r="I488">
        <v>108.0</v>
      </c>
      <c r="J488" t="str">
        <f t="shared" si="3"/>
        <v>342.9</v>
      </c>
      <c r="K488" t="str">
        <f t="shared" si="4"/>
        <v>1457.325</v>
      </c>
      <c r="L488" t="str">
        <f t="shared" si="5"/>
        <v>6.0721875</v>
      </c>
      <c r="M488" t="str">
        <f t="shared" si="6"/>
        <v>425</v>
      </c>
      <c r="N488" t="s">
        <v>182</v>
      </c>
      <c r="O488" t="s">
        <v>902</v>
      </c>
      <c r="P488" t="s">
        <v>903</v>
      </c>
    </row>
    <row r="489" ht="15.75" customHeight="1">
      <c r="A489">
        <v>492.0</v>
      </c>
      <c r="B489">
        <v>60.0</v>
      </c>
      <c r="C489">
        <v>135.0</v>
      </c>
      <c r="D489">
        <v>3.0</v>
      </c>
      <c r="E489" t="str">
        <f t="shared" si="1"/>
        <v>4.7</v>
      </c>
      <c r="F489">
        <v>5.0</v>
      </c>
      <c r="G489">
        <v>4.0</v>
      </c>
      <c r="H489" t="str">
        <f t="shared" si="2"/>
        <v>20</v>
      </c>
      <c r="I489">
        <v>176.0</v>
      </c>
      <c r="J489" t="str">
        <f t="shared" si="3"/>
        <v>558.8</v>
      </c>
      <c r="K489" t="str">
        <f t="shared" si="4"/>
        <v>1855.216</v>
      </c>
      <c r="L489" t="str">
        <f t="shared" si="5"/>
        <v>9.27608</v>
      </c>
      <c r="M489" t="str">
        <f t="shared" si="6"/>
        <v>332</v>
      </c>
      <c r="N489" t="s">
        <v>182</v>
      </c>
      <c r="O489" t="s">
        <v>904</v>
      </c>
      <c r="P489" t="s">
        <v>905</v>
      </c>
    </row>
    <row r="490" ht="15.75" customHeight="1">
      <c r="A490">
        <v>493.0</v>
      </c>
      <c r="B490">
        <v>35.0</v>
      </c>
      <c r="C490">
        <v>135.0</v>
      </c>
      <c r="D490">
        <v>3.0</v>
      </c>
      <c r="E490" t="str">
        <f t="shared" si="1"/>
        <v>4.7</v>
      </c>
      <c r="F490">
        <v>8.0</v>
      </c>
      <c r="G490">
        <v>4.0</v>
      </c>
      <c r="H490" t="str">
        <f t="shared" si="2"/>
        <v>32</v>
      </c>
      <c r="I490">
        <v>176.0</v>
      </c>
      <c r="J490" t="str">
        <f t="shared" si="3"/>
        <v>558.8</v>
      </c>
      <c r="K490" t="str">
        <f t="shared" si="4"/>
        <v>1793.748</v>
      </c>
      <c r="L490" t="str">
        <f t="shared" si="5"/>
        <v>5.6054625</v>
      </c>
      <c r="M490" t="str">
        <f t="shared" si="6"/>
        <v>321</v>
      </c>
      <c r="N490" t="s">
        <v>182</v>
      </c>
      <c r="O490" t="s">
        <v>906</v>
      </c>
      <c r="P490" t="s">
        <v>907</v>
      </c>
    </row>
    <row r="491" ht="15.75" customHeight="1">
      <c r="A491">
        <v>494.0</v>
      </c>
      <c r="B491">
        <v>45.0</v>
      </c>
      <c r="C491">
        <v>180.0</v>
      </c>
      <c r="D491">
        <v>3.0</v>
      </c>
      <c r="E491" t="str">
        <f t="shared" si="1"/>
        <v>6.266666667</v>
      </c>
      <c r="F491">
        <v>6.0</v>
      </c>
      <c r="G491">
        <v>3.0</v>
      </c>
      <c r="H491" t="str">
        <f t="shared" si="2"/>
        <v>18</v>
      </c>
      <c r="I491">
        <v>176.0</v>
      </c>
      <c r="J491" t="str">
        <f t="shared" si="3"/>
        <v>558.8</v>
      </c>
      <c r="K491" t="str">
        <f t="shared" si="4"/>
        <v>1704.34</v>
      </c>
      <c r="L491" t="str">
        <f t="shared" si="5"/>
        <v>9.468555556</v>
      </c>
      <c r="M491" t="str">
        <f t="shared" si="6"/>
        <v>305</v>
      </c>
      <c r="N491" t="s">
        <v>182</v>
      </c>
      <c r="O491" t="s">
        <v>908</v>
      </c>
      <c r="P491" t="s">
        <v>909</v>
      </c>
    </row>
    <row r="492" ht="15.75" customHeight="1">
      <c r="A492">
        <v>495.0</v>
      </c>
      <c r="B492">
        <v>62.0</v>
      </c>
      <c r="C492">
        <v>337.0</v>
      </c>
      <c r="D492">
        <v>3.0</v>
      </c>
      <c r="E492" t="str">
        <f t="shared" si="1"/>
        <v>5.9</v>
      </c>
      <c r="F492">
        <v>5.0</v>
      </c>
      <c r="G492">
        <v>1.0</v>
      </c>
      <c r="H492" t="str">
        <f t="shared" si="2"/>
        <v>5</v>
      </c>
      <c r="I492">
        <v>108.0</v>
      </c>
      <c r="J492" t="str">
        <f t="shared" si="3"/>
        <v>342.9</v>
      </c>
      <c r="K492" t="str">
        <f t="shared" si="4"/>
        <v>1172.718</v>
      </c>
      <c r="L492" t="str">
        <f t="shared" si="5"/>
        <v>23.45436</v>
      </c>
      <c r="M492" t="str">
        <f t="shared" si="6"/>
        <v>342</v>
      </c>
      <c r="N492" t="s">
        <v>182</v>
      </c>
      <c r="O492" t="s">
        <v>910</v>
      </c>
      <c r="P492" t="s">
        <v>911</v>
      </c>
    </row>
    <row r="493" ht="15.75" customHeight="1">
      <c r="A493">
        <v>496.0</v>
      </c>
      <c r="B493">
        <v>90.0</v>
      </c>
      <c r="C493">
        <v>50.0</v>
      </c>
      <c r="D493">
        <v>3.0</v>
      </c>
      <c r="E493" t="str">
        <f t="shared" si="1"/>
        <v>3.975</v>
      </c>
      <c r="F493">
        <v>4.0</v>
      </c>
      <c r="G493">
        <v>6.0</v>
      </c>
      <c r="H493" t="str">
        <f t="shared" si="2"/>
        <v>24</v>
      </c>
      <c r="I493">
        <v>102.0</v>
      </c>
      <c r="J493" t="str">
        <f t="shared" si="3"/>
        <v>323.85</v>
      </c>
      <c r="K493" t="str">
        <f t="shared" si="4"/>
        <v>1259.7765</v>
      </c>
      <c r="L493" t="str">
        <f t="shared" si="5"/>
        <v>5.24906875</v>
      </c>
      <c r="M493" t="str">
        <f t="shared" si="6"/>
        <v>389</v>
      </c>
      <c r="N493" t="s">
        <v>182</v>
      </c>
      <c r="O493" t="s">
        <v>912</v>
      </c>
      <c r="P493" t="s">
        <v>913</v>
      </c>
    </row>
    <row r="494" ht="15.75" customHeight="1">
      <c r="A494">
        <v>497.0</v>
      </c>
      <c r="B494">
        <v>45.0</v>
      </c>
      <c r="C494">
        <v>70.0</v>
      </c>
      <c r="D494">
        <v>3.0</v>
      </c>
      <c r="E494" t="str">
        <f t="shared" si="1"/>
        <v>6.2</v>
      </c>
      <c r="F494">
        <v>8.0</v>
      </c>
      <c r="G494">
        <v>5.0</v>
      </c>
      <c r="H494" t="str">
        <f t="shared" si="2"/>
        <v>40</v>
      </c>
      <c r="I494">
        <v>120.0</v>
      </c>
      <c r="J494" t="str">
        <f t="shared" si="3"/>
        <v>381</v>
      </c>
      <c r="K494" t="str">
        <f t="shared" si="4"/>
        <v>1527.81</v>
      </c>
      <c r="L494" t="str">
        <f t="shared" si="5"/>
        <v>3.819525</v>
      </c>
      <c r="M494" t="str">
        <f t="shared" si="6"/>
        <v>401</v>
      </c>
      <c r="N494" t="s">
        <v>187</v>
      </c>
      <c r="O494" t="s">
        <v>914</v>
      </c>
      <c r="P494" t="s">
        <v>915</v>
      </c>
    </row>
    <row r="495" ht="15.75" customHeight="1">
      <c r="A495">
        <v>498.0</v>
      </c>
      <c r="B495">
        <v>40.0</v>
      </c>
      <c r="C495">
        <v>239.0</v>
      </c>
      <c r="D495">
        <v>3.0</v>
      </c>
      <c r="E495" t="str">
        <f t="shared" si="1"/>
        <v>3.8875</v>
      </c>
      <c r="F495">
        <v>8.0</v>
      </c>
      <c r="G495">
        <v>2.0</v>
      </c>
      <c r="H495" t="str">
        <f t="shared" si="2"/>
        <v>16</v>
      </c>
      <c r="I495">
        <v>153.0</v>
      </c>
      <c r="J495" t="str">
        <f t="shared" si="3"/>
        <v>485.775</v>
      </c>
      <c r="K495" t="str">
        <f t="shared" si="4"/>
        <v>1753.64775</v>
      </c>
      <c r="L495" t="str">
        <f t="shared" si="5"/>
        <v>10.96029844</v>
      </c>
      <c r="M495" t="str">
        <f t="shared" si="6"/>
        <v>361</v>
      </c>
      <c r="N495" t="s">
        <v>187</v>
      </c>
      <c r="O495" t="s">
        <v>916</v>
      </c>
      <c r="P495" t="s">
        <v>917</v>
      </c>
    </row>
    <row r="496" ht="15.75" customHeight="1">
      <c r="A496">
        <v>499.0</v>
      </c>
      <c r="B496">
        <v>91.0</v>
      </c>
      <c r="C496">
        <v>482.0</v>
      </c>
      <c r="D496">
        <v>3.0</v>
      </c>
      <c r="E496" t="str">
        <f t="shared" si="1"/>
        <v>3.775</v>
      </c>
      <c r="F496">
        <v>4.0</v>
      </c>
      <c r="G496">
        <v>1.0</v>
      </c>
      <c r="H496" t="str">
        <f t="shared" si="2"/>
        <v>4</v>
      </c>
      <c r="I496">
        <v>153.0</v>
      </c>
      <c r="J496" t="str">
        <f t="shared" si="3"/>
        <v>485.775</v>
      </c>
      <c r="K496" t="str">
        <f t="shared" si="4"/>
        <v>1909.09575</v>
      </c>
      <c r="L496" t="str">
        <f t="shared" si="5"/>
        <v>47.72739375</v>
      </c>
      <c r="M496" t="str">
        <f t="shared" si="6"/>
        <v>393</v>
      </c>
      <c r="N496" t="s">
        <v>187</v>
      </c>
      <c r="O496" t="s">
        <v>918</v>
      </c>
      <c r="P496" t="s">
        <v>919</v>
      </c>
    </row>
    <row r="497" ht="15.75" customHeight="1">
      <c r="A497">
        <v>500.0</v>
      </c>
      <c r="B497">
        <v>101.0</v>
      </c>
      <c r="C497">
        <v>124.0</v>
      </c>
      <c r="D497">
        <v>4.0</v>
      </c>
      <c r="E497" t="str">
        <f t="shared" si="1"/>
        <v>3</v>
      </c>
      <c r="F497">
        <v>2.0</v>
      </c>
      <c r="G497">
        <v>3.0</v>
      </c>
      <c r="H497" t="str">
        <f t="shared" si="2"/>
        <v>6</v>
      </c>
      <c r="I497">
        <v>120.0</v>
      </c>
      <c r="J497" t="str">
        <f t="shared" si="3"/>
        <v>381</v>
      </c>
      <c r="K497" t="str">
        <f t="shared" si="4"/>
        <v>864.87</v>
      </c>
      <c r="L497" t="str">
        <f t="shared" si="5"/>
        <v>14.4145</v>
      </c>
      <c r="M497" t="str">
        <f t="shared" si="6"/>
        <v>227</v>
      </c>
      <c r="N497" t="s">
        <v>182</v>
      </c>
      <c r="O497" t="s">
        <v>920</v>
      </c>
      <c r="P497" t="s">
        <v>921</v>
      </c>
    </row>
    <row r="498" ht="15.75" customHeight="1">
      <c r="A498">
        <v>501.0</v>
      </c>
      <c r="B498">
        <v>75.0</v>
      </c>
      <c r="C498">
        <v>155.0</v>
      </c>
      <c r="D498">
        <v>3.0</v>
      </c>
      <c r="E498" t="str">
        <f t="shared" si="1"/>
        <v>6.925</v>
      </c>
      <c r="F498">
        <v>3.0</v>
      </c>
      <c r="G498">
        <v>2.0</v>
      </c>
      <c r="H498" t="str">
        <f t="shared" si="2"/>
        <v>6</v>
      </c>
      <c r="I498">
        <v>102.0</v>
      </c>
      <c r="J498" t="str">
        <f t="shared" si="3"/>
        <v>323.85</v>
      </c>
      <c r="K498" t="str">
        <f t="shared" si="4"/>
        <v>812.8635</v>
      </c>
      <c r="L498" t="str">
        <f t="shared" si="5"/>
        <v>13.547725</v>
      </c>
      <c r="M498" t="str">
        <f t="shared" si="6"/>
        <v>251</v>
      </c>
      <c r="N498" t="s">
        <v>182</v>
      </c>
      <c r="O498" t="s">
        <v>922</v>
      </c>
      <c r="P498" t="s">
        <v>923</v>
      </c>
    </row>
    <row r="499" ht="15.75" customHeight="1">
      <c r="A499">
        <v>502.0</v>
      </c>
      <c r="B499">
        <v>203.0</v>
      </c>
      <c r="C499">
        <v>140.0</v>
      </c>
      <c r="D499">
        <v>5.0</v>
      </c>
      <c r="E499" t="str">
        <f t="shared" si="1"/>
        <v>12.4</v>
      </c>
      <c r="F499">
        <v>2.0</v>
      </c>
      <c r="G499">
        <v>2.0</v>
      </c>
      <c r="H499" t="str">
        <f t="shared" si="2"/>
        <v>4</v>
      </c>
      <c r="I499">
        <v>96.0</v>
      </c>
      <c r="J499" t="str">
        <f t="shared" si="3"/>
        <v>304.8</v>
      </c>
      <c r="K499" t="str">
        <f t="shared" si="4"/>
        <v>1319.784</v>
      </c>
      <c r="L499" t="str">
        <f t="shared" si="5"/>
        <v>32.9946</v>
      </c>
      <c r="M499" t="str">
        <f t="shared" si="6"/>
        <v>433</v>
      </c>
      <c r="N499" t="s">
        <v>182</v>
      </c>
      <c r="O499" t="s">
        <v>924</v>
      </c>
      <c r="P499" t="s">
        <v>925</v>
      </c>
    </row>
    <row r="500" ht="15.75" customHeight="1">
      <c r="A500">
        <v>503.0</v>
      </c>
      <c r="B500">
        <v>180.0</v>
      </c>
      <c r="C500">
        <v>60.0</v>
      </c>
      <c r="D500">
        <v>3.0</v>
      </c>
      <c r="E500" t="str">
        <f t="shared" si="1"/>
        <v>3.5</v>
      </c>
      <c r="F500">
        <v>2.0</v>
      </c>
      <c r="G500">
        <v>6.0</v>
      </c>
      <c r="H500" t="str">
        <f t="shared" si="2"/>
        <v>12</v>
      </c>
      <c r="I500">
        <v>120.0</v>
      </c>
      <c r="J500" t="str">
        <f t="shared" si="3"/>
        <v>381</v>
      </c>
      <c r="K500" t="str">
        <f t="shared" si="4"/>
        <v>1459.23</v>
      </c>
      <c r="L500" t="str">
        <f t="shared" si="5"/>
        <v>12.16025</v>
      </c>
      <c r="M500" t="str">
        <f t="shared" si="6"/>
        <v>383</v>
      </c>
      <c r="N500" t="s">
        <v>182</v>
      </c>
      <c r="O500" t="s">
        <v>926</v>
      </c>
      <c r="P500" t="s">
        <v>927</v>
      </c>
    </row>
    <row r="501" ht="15.75" customHeight="1">
      <c r="A501">
        <v>504.0</v>
      </c>
      <c r="B501">
        <v>168.0</v>
      </c>
      <c r="C501">
        <v>50.0</v>
      </c>
      <c r="D501">
        <v>3.0</v>
      </c>
      <c r="E501" t="str">
        <f t="shared" si="1"/>
        <v>3.578125</v>
      </c>
      <c r="F501">
        <v>2.0</v>
      </c>
      <c r="G501">
        <v>8.0</v>
      </c>
      <c r="H501" t="str">
        <f t="shared" si="2"/>
        <v>16</v>
      </c>
      <c r="I501">
        <v>135.0</v>
      </c>
      <c r="J501" t="str">
        <f t="shared" si="3"/>
        <v>428.625</v>
      </c>
      <c r="K501" t="str">
        <f t="shared" si="4"/>
        <v>1538.76375</v>
      </c>
      <c r="L501" t="str">
        <f t="shared" si="5"/>
        <v>9.617273438</v>
      </c>
      <c r="M501" t="str">
        <f t="shared" si="6"/>
        <v>359</v>
      </c>
      <c r="N501" t="s">
        <v>182</v>
      </c>
      <c r="O501" t="s">
        <v>928</v>
      </c>
      <c r="P501" t="s">
        <v>929</v>
      </c>
    </row>
    <row r="502" ht="15.75" customHeight="1">
      <c r="A502">
        <v>505.0</v>
      </c>
      <c r="B502">
        <v>130.0</v>
      </c>
      <c r="C502">
        <v>97.0</v>
      </c>
      <c r="D502">
        <v>3.0</v>
      </c>
      <c r="E502" t="str">
        <f t="shared" si="1"/>
        <v>3.0125</v>
      </c>
      <c r="F502">
        <v>3.0</v>
      </c>
      <c r="G502">
        <v>4.0</v>
      </c>
      <c r="H502" t="str">
        <f t="shared" si="2"/>
        <v>12</v>
      </c>
      <c r="I502">
        <v>126.0</v>
      </c>
      <c r="J502" t="str">
        <f t="shared" si="3"/>
        <v>400.05</v>
      </c>
      <c r="K502" t="str">
        <f t="shared" si="4"/>
        <v>1664.208</v>
      </c>
      <c r="L502" t="str">
        <f t="shared" si="5"/>
        <v>13.8684</v>
      </c>
      <c r="M502" t="str">
        <f t="shared" si="6"/>
        <v>416</v>
      </c>
      <c r="N502" t="s">
        <v>182</v>
      </c>
      <c r="O502" t="s">
        <v>930</v>
      </c>
      <c r="P502" t="s">
        <v>931</v>
      </c>
    </row>
    <row r="503" ht="15.75" customHeight="1">
      <c r="A503">
        <v>506.0</v>
      </c>
      <c r="B503">
        <v>40.0</v>
      </c>
      <c r="C503">
        <v>105.0</v>
      </c>
      <c r="D503">
        <v>3.0</v>
      </c>
      <c r="E503" t="str">
        <f t="shared" si="1"/>
        <v>2.95</v>
      </c>
      <c r="F503">
        <v>8.0</v>
      </c>
      <c r="G503">
        <v>3.0</v>
      </c>
      <c r="H503" t="str">
        <f t="shared" si="2"/>
        <v>24</v>
      </c>
      <c r="I503">
        <v>102.0</v>
      </c>
      <c r="J503" t="str">
        <f t="shared" si="3"/>
        <v>323.85</v>
      </c>
      <c r="K503" t="str">
        <f t="shared" si="4"/>
        <v>1169.0985</v>
      </c>
      <c r="L503" t="str">
        <f t="shared" si="5"/>
        <v>4.87124375</v>
      </c>
      <c r="M503" t="str">
        <f t="shared" si="6"/>
        <v>361</v>
      </c>
      <c r="N503" t="s">
        <v>182</v>
      </c>
      <c r="O503" t="s">
        <v>932</v>
      </c>
      <c r="P503" t="s">
        <v>933</v>
      </c>
    </row>
    <row r="504" ht="15.75" customHeight="1">
      <c r="A504">
        <v>507.0</v>
      </c>
      <c r="B504">
        <v>55.0</v>
      </c>
      <c r="C504">
        <v>146.0</v>
      </c>
      <c r="D504">
        <v>3.0</v>
      </c>
      <c r="E504" t="str">
        <f t="shared" si="1"/>
        <v>5.341666667</v>
      </c>
      <c r="F504">
        <v>4.0</v>
      </c>
      <c r="G504">
        <v>3.0</v>
      </c>
      <c r="H504" t="str">
        <f t="shared" si="2"/>
        <v>12</v>
      </c>
      <c r="I504">
        <v>143.0</v>
      </c>
      <c r="J504" t="str">
        <f t="shared" si="3"/>
        <v>454.025</v>
      </c>
      <c r="K504" t="str">
        <f t="shared" si="4"/>
        <v>1130.52225</v>
      </c>
      <c r="L504" t="str">
        <f t="shared" si="5"/>
        <v>9.42101875</v>
      </c>
      <c r="M504" t="str">
        <f t="shared" si="6"/>
        <v>249</v>
      </c>
      <c r="N504" t="s">
        <v>182</v>
      </c>
      <c r="O504" t="s">
        <v>934</v>
      </c>
      <c r="P504" t="s">
        <v>935</v>
      </c>
    </row>
    <row r="505" ht="15.75" customHeight="1">
      <c r="A505">
        <v>508.0</v>
      </c>
      <c r="B505">
        <v>134.0</v>
      </c>
      <c r="C505">
        <v>82.0</v>
      </c>
      <c r="D505">
        <v>7.0</v>
      </c>
      <c r="E505" t="str">
        <f t="shared" si="1"/>
        <v>3.725</v>
      </c>
      <c r="F505">
        <v>2.0</v>
      </c>
      <c r="G505">
        <v>4.0</v>
      </c>
      <c r="H505" t="str">
        <f t="shared" si="2"/>
        <v>8</v>
      </c>
      <c r="I505">
        <v>108.0</v>
      </c>
      <c r="J505" t="str">
        <f t="shared" si="3"/>
        <v>342.9</v>
      </c>
      <c r="K505" t="str">
        <f t="shared" si="4"/>
        <v>1025.271</v>
      </c>
      <c r="L505" t="str">
        <f t="shared" si="5"/>
        <v>12.8158875</v>
      </c>
      <c r="M505" t="str">
        <f t="shared" si="6"/>
        <v>299</v>
      </c>
      <c r="N505" t="s">
        <v>182</v>
      </c>
      <c r="O505" t="s">
        <v>936</v>
      </c>
      <c r="P505" t="s">
        <v>937</v>
      </c>
    </row>
    <row r="506" ht="15.75" customHeight="1">
      <c r="A506">
        <v>509.0</v>
      </c>
      <c r="B506">
        <v>40.0</v>
      </c>
      <c r="C506">
        <v>187.0</v>
      </c>
      <c r="D506">
        <v>3.0</v>
      </c>
      <c r="E506" t="str">
        <f t="shared" si="1"/>
        <v>3.5</v>
      </c>
      <c r="F506">
        <v>8.0</v>
      </c>
      <c r="G506">
        <v>2.0</v>
      </c>
      <c r="H506" t="str">
        <f t="shared" si="2"/>
        <v>16</v>
      </c>
      <c r="I506">
        <v>120.0</v>
      </c>
      <c r="J506" t="str">
        <f t="shared" si="3"/>
        <v>381</v>
      </c>
      <c r="K506" t="str">
        <f t="shared" si="4"/>
        <v>1375.41</v>
      </c>
      <c r="L506" t="str">
        <f t="shared" si="5"/>
        <v>8.5963125</v>
      </c>
      <c r="M506" t="str">
        <f t="shared" si="6"/>
        <v>361</v>
      </c>
      <c r="N506" t="s">
        <v>182</v>
      </c>
      <c r="O506" t="s">
        <v>938</v>
      </c>
      <c r="P506" t="s">
        <v>939</v>
      </c>
    </row>
    <row r="507" ht="15.75" customHeight="1">
      <c r="A507">
        <v>510.0</v>
      </c>
      <c r="B507">
        <v>75.0</v>
      </c>
      <c r="C507">
        <v>224.0</v>
      </c>
      <c r="D507">
        <v>3.0</v>
      </c>
      <c r="E507" t="str">
        <f t="shared" si="1"/>
        <v>3.0125</v>
      </c>
      <c r="F507">
        <v>4.0</v>
      </c>
      <c r="G507">
        <v>2.0</v>
      </c>
      <c r="H507" t="str">
        <f t="shared" si="2"/>
        <v>8</v>
      </c>
      <c r="I507">
        <v>143.0</v>
      </c>
      <c r="J507" t="str">
        <f t="shared" si="3"/>
        <v>454.025</v>
      </c>
      <c r="K507" t="str">
        <f t="shared" si="4"/>
        <v>1493.74225</v>
      </c>
      <c r="L507" t="str">
        <f t="shared" si="5"/>
        <v>18.67177813</v>
      </c>
      <c r="M507" t="str">
        <f t="shared" si="6"/>
        <v>329</v>
      </c>
      <c r="N507" t="s">
        <v>182</v>
      </c>
      <c r="O507" t="s">
        <v>940</v>
      </c>
      <c r="P507" t="s">
        <v>941</v>
      </c>
    </row>
    <row r="508" ht="15.75" customHeight="1">
      <c r="A508">
        <v>511.0</v>
      </c>
      <c r="B508">
        <v>52.0</v>
      </c>
      <c r="C508">
        <v>182.0</v>
      </c>
      <c r="D508">
        <v>3.0</v>
      </c>
      <c r="E508" t="str">
        <f t="shared" si="1"/>
        <v>4.266666667</v>
      </c>
      <c r="F508">
        <v>6.0</v>
      </c>
      <c r="G508">
        <v>3.0</v>
      </c>
      <c r="H508" t="str">
        <f t="shared" si="2"/>
        <v>18</v>
      </c>
      <c r="I508">
        <v>176.0</v>
      </c>
      <c r="J508" t="str">
        <f t="shared" si="3"/>
        <v>558.8</v>
      </c>
      <c r="K508" t="str">
        <f t="shared" si="4"/>
        <v>1939.036</v>
      </c>
      <c r="L508" t="str">
        <f t="shared" si="5"/>
        <v>10.77242222</v>
      </c>
      <c r="M508" t="str">
        <f t="shared" si="6"/>
        <v>347</v>
      </c>
      <c r="N508" t="s">
        <v>182</v>
      </c>
      <c r="O508" t="s">
        <v>942</v>
      </c>
      <c r="P508" t="s">
        <v>943</v>
      </c>
    </row>
    <row r="509" ht="15.75" customHeight="1">
      <c r="A509">
        <v>512.0</v>
      </c>
      <c r="B509">
        <v>75.0</v>
      </c>
      <c r="C509">
        <v>155.0</v>
      </c>
      <c r="D509">
        <v>3.0</v>
      </c>
      <c r="E509" t="str">
        <f t="shared" si="1"/>
        <v>6.925</v>
      </c>
      <c r="F509">
        <v>5.0</v>
      </c>
      <c r="G509">
        <v>2.0</v>
      </c>
      <c r="H509" t="str">
        <f t="shared" si="2"/>
        <v>10</v>
      </c>
      <c r="I509">
        <v>102.0</v>
      </c>
      <c r="J509" t="str">
        <f t="shared" si="3"/>
        <v>323.85</v>
      </c>
      <c r="K509" t="str">
        <f t="shared" si="4"/>
        <v>1318.0695</v>
      </c>
      <c r="L509" t="str">
        <f t="shared" si="5"/>
        <v>13.180695</v>
      </c>
      <c r="M509" t="str">
        <f t="shared" si="6"/>
        <v>407</v>
      </c>
      <c r="N509" t="s">
        <v>182</v>
      </c>
      <c r="O509" t="s">
        <v>944</v>
      </c>
      <c r="P509" t="s">
        <v>945</v>
      </c>
    </row>
    <row r="510" ht="15.75" customHeight="1">
      <c r="A510">
        <v>513.0</v>
      </c>
      <c r="B510">
        <v>77.0</v>
      </c>
      <c r="C510">
        <v>32.5</v>
      </c>
      <c r="D510">
        <v>4.0</v>
      </c>
      <c r="E510" t="str">
        <f t="shared" si="1"/>
        <v>3.483333333</v>
      </c>
      <c r="F510">
        <v>4.0</v>
      </c>
      <c r="G510">
        <v>9.0</v>
      </c>
      <c r="H510" t="str">
        <f t="shared" si="2"/>
        <v>36</v>
      </c>
      <c r="I510">
        <v>102.0</v>
      </c>
      <c r="J510" t="str">
        <f t="shared" si="3"/>
        <v>323.85</v>
      </c>
      <c r="K510" t="str">
        <f t="shared" si="4"/>
        <v>1104.3285</v>
      </c>
      <c r="L510" t="str">
        <f t="shared" si="5"/>
        <v>3.067579167</v>
      </c>
      <c r="M510" t="str">
        <f t="shared" si="6"/>
        <v>341</v>
      </c>
      <c r="N510" t="s">
        <v>182</v>
      </c>
      <c r="O510" t="s">
        <v>946</v>
      </c>
      <c r="P510" t="s">
        <v>947</v>
      </c>
    </row>
    <row r="511" ht="15.75" customHeight="1">
      <c r="A511">
        <v>514.0</v>
      </c>
      <c r="B511">
        <v>50.0</v>
      </c>
      <c r="C511">
        <v>196.0</v>
      </c>
      <c r="D511">
        <v>3.0</v>
      </c>
      <c r="E511" t="str">
        <f t="shared" si="1"/>
        <v>4.025</v>
      </c>
      <c r="F511">
        <v>4.0</v>
      </c>
      <c r="G511">
        <v>2.0</v>
      </c>
      <c r="H511" t="str">
        <f t="shared" si="2"/>
        <v>8</v>
      </c>
      <c r="I511">
        <v>126.0</v>
      </c>
      <c r="J511" t="str">
        <f t="shared" si="3"/>
        <v>400.05</v>
      </c>
      <c r="K511" t="str">
        <f t="shared" si="4"/>
        <v>916.1145</v>
      </c>
      <c r="L511" t="str">
        <f t="shared" si="5"/>
        <v>11.45143125</v>
      </c>
      <c r="M511" t="str">
        <f t="shared" si="6"/>
        <v>229</v>
      </c>
      <c r="N511" t="s">
        <v>182</v>
      </c>
      <c r="O511" t="s">
        <v>948</v>
      </c>
      <c r="P511" t="s">
        <v>949</v>
      </c>
    </row>
    <row r="512" ht="15.75" customHeight="1">
      <c r="A512">
        <v>515.0</v>
      </c>
      <c r="B512">
        <v>18.0</v>
      </c>
      <c r="C512">
        <v>39.0</v>
      </c>
      <c r="D512">
        <v>3.0</v>
      </c>
      <c r="E512" t="str">
        <f t="shared" si="1"/>
        <v>3.8625</v>
      </c>
      <c r="F512">
        <v>7.0</v>
      </c>
      <c r="G512">
        <v>8.0</v>
      </c>
      <c r="H512" t="str">
        <f t="shared" si="2"/>
        <v>56</v>
      </c>
      <c r="I512">
        <v>108.0</v>
      </c>
      <c r="J512" t="str">
        <f t="shared" si="3"/>
        <v>342.9</v>
      </c>
      <c r="K512" t="str">
        <f t="shared" si="4"/>
        <v>562.356</v>
      </c>
      <c r="L512" t="str">
        <f t="shared" si="5"/>
        <v>1.004207143</v>
      </c>
      <c r="M512" t="str">
        <f t="shared" si="6"/>
        <v>164</v>
      </c>
      <c r="N512" t="s">
        <v>182</v>
      </c>
      <c r="O512" t="s">
        <v>950</v>
      </c>
      <c r="P512" t="s">
        <v>951</v>
      </c>
    </row>
    <row r="513" ht="15.75" customHeight="1">
      <c r="A513">
        <v>516.0</v>
      </c>
      <c r="B513">
        <v>54.0</v>
      </c>
      <c r="C513">
        <v>239.0</v>
      </c>
      <c r="D513">
        <v>3.0</v>
      </c>
      <c r="E513" t="str">
        <f t="shared" si="1"/>
        <v>3.8875</v>
      </c>
      <c r="F513">
        <v>6.0</v>
      </c>
      <c r="G513">
        <v>2.0</v>
      </c>
      <c r="H513" t="str">
        <f t="shared" si="2"/>
        <v>12</v>
      </c>
      <c r="I513">
        <v>153.0</v>
      </c>
      <c r="J513" t="str">
        <f t="shared" si="3"/>
        <v>485.775</v>
      </c>
      <c r="K513" t="str">
        <f t="shared" si="4"/>
        <v>1743.93225</v>
      </c>
      <c r="L513" t="str">
        <f t="shared" si="5"/>
        <v>14.53276875</v>
      </c>
      <c r="M513" t="str">
        <f t="shared" si="6"/>
        <v>359</v>
      </c>
      <c r="N513" t="s">
        <v>182</v>
      </c>
      <c r="O513" t="s">
        <v>952</v>
      </c>
      <c r="P513" t="s">
        <v>953</v>
      </c>
    </row>
    <row r="514" ht="15.75" customHeight="1">
      <c r="A514">
        <v>517.0</v>
      </c>
      <c r="B514">
        <v>65.0</v>
      </c>
      <c r="C514">
        <v>211.0</v>
      </c>
      <c r="D514">
        <v>3.0</v>
      </c>
      <c r="E514" t="str">
        <f t="shared" si="1"/>
        <v>3.3125</v>
      </c>
      <c r="F514">
        <v>5.0</v>
      </c>
      <c r="G514">
        <v>2.0</v>
      </c>
      <c r="H514" t="str">
        <f t="shared" si="2"/>
        <v>10</v>
      </c>
      <c r="I514">
        <v>135.0</v>
      </c>
      <c r="J514" t="str">
        <f t="shared" si="3"/>
        <v>428.625</v>
      </c>
      <c r="K514" t="str">
        <f t="shared" si="4"/>
        <v>1530.19125</v>
      </c>
      <c r="L514" t="str">
        <f t="shared" si="5"/>
        <v>15.3019125</v>
      </c>
      <c r="M514" t="str">
        <f t="shared" si="6"/>
        <v>357</v>
      </c>
      <c r="N514" t="s">
        <v>182</v>
      </c>
      <c r="O514" t="s">
        <v>954</v>
      </c>
      <c r="P514" t="s">
        <v>955</v>
      </c>
    </row>
    <row r="515" ht="15.75" customHeight="1">
      <c r="A515">
        <v>518.0</v>
      </c>
      <c r="B515">
        <v>112.0</v>
      </c>
      <c r="C515">
        <v>86.0</v>
      </c>
      <c r="D515">
        <v>4.0</v>
      </c>
      <c r="E515" t="str">
        <f t="shared" si="1"/>
        <v>4.805</v>
      </c>
      <c r="F515">
        <v>2.0</v>
      </c>
      <c r="G515">
        <v>5.0</v>
      </c>
      <c r="H515" t="str">
        <f t="shared" si="2"/>
        <v>10</v>
      </c>
      <c r="I515">
        <v>143.0</v>
      </c>
      <c r="J515" t="str">
        <f t="shared" si="3"/>
        <v>454.025</v>
      </c>
      <c r="K515" t="str">
        <f t="shared" si="4"/>
        <v>1130.52225</v>
      </c>
      <c r="L515" t="str">
        <f t="shared" si="5"/>
        <v>11.3052225</v>
      </c>
      <c r="M515" t="str">
        <f t="shared" si="6"/>
        <v>249</v>
      </c>
      <c r="N515" t="s">
        <v>182</v>
      </c>
      <c r="O515" t="s">
        <v>956</v>
      </c>
      <c r="P515" t="s">
        <v>957</v>
      </c>
    </row>
    <row r="516" ht="15.75" customHeight="1">
      <c r="A516">
        <v>519.0</v>
      </c>
      <c r="B516">
        <v>31.9</v>
      </c>
      <c r="C516">
        <v>104.4</v>
      </c>
      <c r="D516">
        <v>4.0</v>
      </c>
      <c r="E516" t="str">
        <f t="shared" si="1"/>
        <v>3.55</v>
      </c>
      <c r="F516">
        <v>6.0</v>
      </c>
      <c r="G516">
        <v>3.0</v>
      </c>
      <c r="H516" t="str">
        <f t="shared" si="2"/>
        <v>18</v>
      </c>
      <c r="I516">
        <v>102.0</v>
      </c>
      <c r="J516" t="str">
        <f t="shared" si="3"/>
        <v>323.85</v>
      </c>
      <c r="K516" t="str">
        <f t="shared" si="4"/>
        <v>752.6274</v>
      </c>
      <c r="L516" t="str">
        <f t="shared" si="5"/>
        <v>4.181263333</v>
      </c>
      <c r="M516" t="str">
        <f t="shared" si="6"/>
        <v>232.4</v>
      </c>
      <c r="N516" t="s">
        <v>182</v>
      </c>
      <c r="O516" t="s">
        <v>958</v>
      </c>
      <c r="P516" t="s">
        <v>959</v>
      </c>
    </row>
    <row r="517" ht="15.75" customHeight="1">
      <c r="A517">
        <v>520.0</v>
      </c>
      <c r="B517">
        <v>92.0</v>
      </c>
      <c r="C517">
        <v>70.0</v>
      </c>
      <c r="D517">
        <v>3.0</v>
      </c>
      <c r="E517" t="str">
        <f t="shared" si="1"/>
        <v>5.670833333</v>
      </c>
      <c r="F517">
        <v>4.0</v>
      </c>
      <c r="G517">
        <v>6.0</v>
      </c>
      <c r="H517" t="str">
        <f t="shared" si="2"/>
        <v>24</v>
      </c>
      <c r="I517">
        <v>143.0</v>
      </c>
      <c r="J517" t="str">
        <f t="shared" si="3"/>
        <v>454.025</v>
      </c>
      <c r="K517" t="str">
        <f t="shared" si="4"/>
        <v>1802.47925</v>
      </c>
      <c r="L517" t="str">
        <f t="shared" si="5"/>
        <v>7.510330208</v>
      </c>
      <c r="M517" t="str">
        <f t="shared" si="6"/>
        <v>397</v>
      </c>
      <c r="N517" t="s">
        <v>182</v>
      </c>
      <c r="O517" t="s">
        <v>960</v>
      </c>
      <c r="P517" t="s">
        <v>961</v>
      </c>
    </row>
    <row r="518" ht="15.75" customHeight="1">
      <c r="A518">
        <v>521.0</v>
      </c>
      <c r="B518">
        <v>115.0</v>
      </c>
      <c r="C518">
        <v>80.0</v>
      </c>
      <c r="D518">
        <v>3.0</v>
      </c>
      <c r="E518" t="str">
        <f t="shared" si="1"/>
        <v>3.34375</v>
      </c>
      <c r="F518">
        <v>2.0</v>
      </c>
      <c r="G518">
        <v>4.0</v>
      </c>
      <c r="H518" t="str">
        <f t="shared" si="2"/>
        <v>8</v>
      </c>
      <c r="I518">
        <v>105.0</v>
      </c>
      <c r="J518" t="str">
        <f t="shared" si="3"/>
        <v>333.375</v>
      </c>
      <c r="K518" t="str">
        <f t="shared" si="4"/>
        <v>843.43875</v>
      </c>
      <c r="L518" t="str">
        <f t="shared" si="5"/>
        <v>10.54298438</v>
      </c>
      <c r="M518" t="str">
        <f t="shared" si="6"/>
        <v>253</v>
      </c>
      <c r="N518" t="s">
        <v>182</v>
      </c>
      <c r="O518" t="s">
        <v>962</v>
      </c>
      <c r="P518" t="s">
        <v>963</v>
      </c>
    </row>
    <row r="519" ht="15.75" customHeight="1">
      <c r="A519">
        <v>522.0</v>
      </c>
      <c r="B519">
        <v>50.0</v>
      </c>
      <c r="C519">
        <v>260.0</v>
      </c>
      <c r="D519">
        <v>3.0</v>
      </c>
      <c r="E519" t="str">
        <f t="shared" si="1"/>
        <v>19.4</v>
      </c>
      <c r="F519">
        <v>6.0</v>
      </c>
      <c r="G519">
        <v>2.0</v>
      </c>
      <c r="H519" t="str">
        <f t="shared" si="2"/>
        <v>12</v>
      </c>
      <c r="I519">
        <v>176.0</v>
      </c>
      <c r="J519" t="str">
        <f t="shared" si="3"/>
        <v>558.8</v>
      </c>
      <c r="K519" t="str">
        <f t="shared" si="4"/>
        <v>1871.98</v>
      </c>
      <c r="L519" t="str">
        <f t="shared" si="5"/>
        <v>15.59983333</v>
      </c>
      <c r="M519" t="str">
        <f t="shared" si="6"/>
        <v>335</v>
      </c>
      <c r="N519" t="s">
        <v>182</v>
      </c>
      <c r="O519" t="s">
        <v>964</v>
      </c>
      <c r="P519" t="s">
        <v>965</v>
      </c>
    </row>
    <row r="520" ht="15.75" customHeight="1">
      <c r="A520">
        <v>523.0</v>
      </c>
      <c r="B520">
        <v>140.0</v>
      </c>
      <c r="C520">
        <v>197.0</v>
      </c>
      <c r="D520">
        <v>3.0</v>
      </c>
      <c r="E520" t="str">
        <f t="shared" si="1"/>
        <v>3.025</v>
      </c>
      <c r="F520">
        <v>2.0</v>
      </c>
      <c r="G520">
        <v>2.0</v>
      </c>
      <c r="H520" t="str">
        <f t="shared" si="2"/>
        <v>4</v>
      </c>
      <c r="I520">
        <v>126.0</v>
      </c>
      <c r="J520" t="str">
        <f t="shared" si="3"/>
        <v>400.05</v>
      </c>
      <c r="K520" t="str">
        <f t="shared" si="4"/>
        <v>1212.1515</v>
      </c>
      <c r="L520" t="str">
        <f t="shared" si="5"/>
        <v>30.3037875</v>
      </c>
      <c r="M520" t="str">
        <f t="shared" si="6"/>
        <v>303</v>
      </c>
      <c r="N520" t="s">
        <v>182</v>
      </c>
      <c r="O520" t="s">
        <v>966</v>
      </c>
      <c r="P520" t="s">
        <v>967</v>
      </c>
    </row>
    <row r="521" ht="15.75" customHeight="1">
      <c r="A521">
        <v>524.0</v>
      </c>
      <c r="B521">
        <v>140.0</v>
      </c>
      <c r="C521">
        <v>210.0</v>
      </c>
      <c r="D521">
        <v>3.0</v>
      </c>
      <c r="E521" t="str">
        <f t="shared" si="1"/>
        <v>4.3125</v>
      </c>
      <c r="F521">
        <v>2.0</v>
      </c>
      <c r="G521">
        <v>2.0</v>
      </c>
      <c r="H521" t="str">
        <f t="shared" si="2"/>
        <v>4</v>
      </c>
      <c r="I521">
        <v>135.0</v>
      </c>
      <c r="J521" t="str">
        <f t="shared" si="3"/>
        <v>428.625</v>
      </c>
      <c r="K521" t="str">
        <f t="shared" si="4"/>
        <v>1298.73375</v>
      </c>
      <c r="L521" t="str">
        <f t="shared" si="5"/>
        <v>32.46834375</v>
      </c>
      <c r="M521" t="str">
        <f t="shared" si="6"/>
        <v>303</v>
      </c>
      <c r="N521" t="s">
        <v>182</v>
      </c>
      <c r="O521" t="s">
        <v>968</v>
      </c>
      <c r="P521" t="s">
        <v>969</v>
      </c>
    </row>
    <row r="522" ht="15.75" customHeight="1">
      <c r="A522">
        <v>525.0</v>
      </c>
      <c r="B522">
        <v>60.0</v>
      </c>
      <c r="C522">
        <v>159.0</v>
      </c>
      <c r="D522">
        <v>3.0</v>
      </c>
      <c r="E522" t="str">
        <f t="shared" si="1"/>
        <v>2.925</v>
      </c>
      <c r="F522">
        <v>6.0</v>
      </c>
      <c r="G522">
        <v>2.0</v>
      </c>
      <c r="H522" t="str">
        <f t="shared" si="2"/>
        <v>12</v>
      </c>
      <c r="I522">
        <v>102.0</v>
      </c>
      <c r="J522" t="str">
        <f t="shared" si="3"/>
        <v>323.85</v>
      </c>
      <c r="K522" t="str">
        <f t="shared" si="4"/>
        <v>1279.2075</v>
      </c>
      <c r="L522" t="str">
        <f t="shared" si="5"/>
        <v>10.6600625</v>
      </c>
      <c r="M522" t="str">
        <f t="shared" si="6"/>
        <v>395</v>
      </c>
      <c r="N522" t="s">
        <v>182</v>
      </c>
      <c r="O522" t="s">
        <v>970</v>
      </c>
      <c r="P522" t="s">
        <v>971</v>
      </c>
    </row>
    <row r="523" ht="15.75" customHeight="1">
      <c r="A523">
        <v>526.0</v>
      </c>
      <c r="B523">
        <v>70.0</v>
      </c>
      <c r="C523">
        <v>140.0</v>
      </c>
      <c r="D523">
        <v>3.0</v>
      </c>
      <c r="E523" t="str">
        <f t="shared" si="1"/>
        <v>2.875</v>
      </c>
      <c r="F523">
        <v>4.0</v>
      </c>
      <c r="G523">
        <v>3.0</v>
      </c>
      <c r="H523" t="str">
        <f t="shared" si="2"/>
        <v>12</v>
      </c>
      <c r="I523">
        <v>135.0</v>
      </c>
      <c r="J523" t="str">
        <f t="shared" si="3"/>
        <v>428.625</v>
      </c>
      <c r="K523" t="str">
        <f t="shared" si="4"/>
        <v>1324.45125</v>
      </c>
      <c r="L523" t="str">
        <f t="shared" si="5"/>
        <v>11.03709375</v>
      </c>
      <c r="M523" t="str">
        <f t="shared" si="6"/>
        <v>309</v>
      </c>
      <c r="N523" t="s">
        <v>182</v>
      </c>
      <c r="O523" t="s">
        <v>972</v>
      </c>
      <c r="P523" t="s">
        <v>973</v>
      </c>
    </row>
    <row r="524" ht="15.75" customHeight="1">
      <c r="A524">
        <v>527.0</v>
      </c>
      <c r="B524">
        <v>195.0</v>
      </c>
      <c r="C524">
        <v>77.5</v>
      </c>
      <c r="D524">
        <v>4.0</v>
      </c>
      <c r="E524" t="str">
        <f t="shared" si="1"/>
        <v>3.4625</v>
      </c>
      <c r="F524">
        <v>2.0</v>
      </c>
      <c r="G524">
        <v>4.0</v>
      </c>
      <c r="H524" t="str">
        <f t="shared" si="2"/>
        <v>8</v>
      </c>
      <c r="I524">
        <v>102.0</v>
      </c>
      <c r="J524" t="str">
        <f t="shared" si="3"/>
        <v>323.85</v>
      </c>
      <c r="K524" t="str">
        <f t="shared" si="4"/>
        <v>1343.9775</v>
      </c>
      <c r="L524" t="str">
        <f t="shared" si="5"/>
        <v>16.79971875</v>
      </c>
      <c r="M524" t="str">
        <f t="shared" si="6"/>
        <v>415</v>
      </c>
      <c r="N524" t="s">
        <v>182</v>
      </c>
      <c r="O524" t="s">
        <v>974</v>
      </c>
      <c r="P524" t="s">
        <v>975</v>
      </c>
    </row>
    <row r="525" ht="15.75" customHeight="1">
      <c r="A525">
        <v>528.0</v>
      </c>
      <c r="B525">
        <v>127.0</v>
      </c>
      <c r="C525">
        <v>70.0</v>
      </c>
      <c r="D525">
        <v>4.0</v>
      </c>
      <c r="E525" t="str">
        <f t="shared" si="1"/>
        <v>6.2</v>
      </c>
      <c r="F525">
        <v>2.0</v>
      </c>
      <c r="G525">
        <v>4.0</v>
      </c>
      <c r="H525" t="str">
        <f t="shared" si="2"/>
        <v>8</v>
      </c>
      <c r="I525">
        <v>96.0</v>
      </c>
      <c r="J525" t="str">
        <f t="shared" si="3"/>
        <v>304.8</v>
      </c>
      <c r="K525" t="str">
        <f t="shared" si="4"/>
        <v>850.392</v>
      </c>
      <c r="L525" t="str">
        <f t="shared" si="5"/>
        <v>10.6299</v>
      </c>
      <c r="M525" t="str">
        <f t="shared" si="6"/>
        <v>279</v>
      </c>
      <c r="N525" t="s">
        <v>182</v>
      </c>
      <c r="O525" t="s">
        <v>976</v>
      </c>
      <c r="P525" t="s">
        <v>977</v>
      </c>
    </row>
    <row r="526" ht="15.75" customHeight="1">
      <c r="A526">
        <v>529.0</v>
      </c>
      <c r="B526">
        <v>175.0</v>
      </c>
      <c r="C526">
        <v>75.0</v>
      </c>
      <c r="D526">
        <v>5.0</v>
      </c>
      <c r="E526" t="str">
        <f t="shared" si="1"/>
        <v>2.7875</v>
      </c>
      <c r="F526">
        <v>2.0</v>
      </c>
      <c r="G526">
        <v>4.0</v>
      </c>
      <c r="H526" t="str">
        <f t="shared" si="2"/>
        <v>8</v>
      </c>
      <c r="I526">
        <v>98.0</v>
      </c>
      <c r="J526" t="str">
        <f t="shared" si="3"/>
        <v>311.15</v>
      </c>
      <c r="K526" t="str">
        <f t="shared" si="4"/>
        <v>1173.0355</v>
      </c>
      <c r="L526" t="str">
        <f t="shared" si="5"/>
        <v>14.66294375</v>
      </c>
      <c r="M526" t="str">
        <f t="shared" si="6"/>
        <v>377</v>
      </c>
      <c r="N526" t="s">
        <v>187</v>
      </c>
      <c r="O526" t="s">
        <v>978</v>
      </c>
      <c r="P526" t="s">
        <v>979</v>
      </c>
    </row>
    <row r="527" ht="15.75" customHeight="1">
      <c r="A527">
        <v>530.0</v>
      </c>
      <c r="B527">
        <v>88.0</v>
      </c>
      <c r="C527">
        <v>126.0</v>
      </c>
      <c r="D527">
        <v>3.0</v>
      </c>
      <c r="E527" t="str">
        <f t="shared" si="1"/>
        <v>7.35</v>
      </c>
      <c r="F527">
        <v>4.0</v>
      </c>
      <c r="G527">
        <v>3.0</v>
      </c>
      <c r="H527" t="str">
        <f t="shared" si="2"/>
        <v>12</v>
      </c>
      <c r="I527">
        <v>126.0</v>
      </c>
      <c r="J527" t="str">
        <f t="shared" si="3"/>
        <v>400.05</v>
      </c>
      <c r="K527" t="str">
        <f t="shared" si="4"/>
        <v>1524.1905</v>
      </c>
      <c r="L527" t="str">
        <f t="shared" si="5"/>
        <v>12.7015875</v>
      </c>
      <c r="M527" t="str">
        <f t="shared" si="6"/>
        <v>381</v>
      </c>
      <c r="N527" t="s">
        <v>182</v>
      </c>
      <c r="O527" t="s">
        <v>980</v>
      </c>
      <c r="P527" t="s">
        <v>981</v>
      </c>
    </row>
    <row r="528" ht="15.75" customHeight="1">
      <c r="A528">
        <v>531.0</v>
      </c>
      <c r="B528">
        <v>45.0</v>
      </c>
      <c r="C528">
        <v>180.0</v>
      </c>
      <c r="D528">
        <v>3.0</v>
      </c>
      <c r="E528" t="str">
        <f t="shared" si="1"/>
        <v>6.266666667</v>
      </c>
      <c r="F528">
        <v>8.0</v>
      </c>
      <c r="G528">
        <v>3.0</v>
      </c>
      <c r="H528" t="str">
        <f t="shared" si="2"/>
        <v>24</v>
      </c>
      <c r="I528">
        <v>176.0</v>
      </c>
      <c r="J528" t="str">
        <f t="shared" si="3"/>
        <v>558.8</v>
      </c>
      <c r="K528" t="str">
        <f t="shared" si="4"/>
        <v>2240.788</v>
      </c>
      <c r="L528" t="str">
        <f t="shared" si="5"/>
        <v>9.336616667</v>
      </c>
      <c r="M528" t="str">
        <f t="shared" si="6"/>
        <v>401</v>
      </c>
      <c r="N528" t="s">
        <v>182</v>
      </c>
      <c r="O528" t="s">
        <v>982</v>
      </c>
      <c r="P528" t="s">
        <v>983</v>
      </c>
    </row>
    <row r="529" ht="15.75" customHeight="1">
      <c r="A529">
        <v>532.0</v>
      </c>
      <c r="B529">
        <v>156.0</v>
      </c>
      <c r="C529">
        <v>193.0</v>
      </c>
      <c r="D529">
        <v>5.0</v>
      </c>
      <c r="E529" t="str">
        <f t="shared" si="1"/>
        <v>7.025</v>
      </c>
      <c r="F529">
        <v>2.0</v>
      </c>
      <c r="G529">
        <v>2.0</v>
      </c>
      <c r="H529" t="str">
        <f t="shared" si="2"/>
        <v>4</v>
      </c>
      <c r="I529">
        <v>126.0</v>
      </c>
      <c r="J529" t="str">
        <f t="shared" si="3"/>
        <v>400.05</v>
      </c>
      <c r="K529" t="str">
        <f t="shared" si="4"/>
        <v>1356.1695</v>
      </c>
      <c r="L529" t="str">
        <f t="shared" si="5"/>
        <v>33.9042375</v>
      </c>
      <c r="M529" t="str">
        <f t="shared" si="6"/>
        <v>339</v>
      </c>
      <c r="N529" t="s">
        <v>182</v>
      </c>
      <c r="O529" t="s">
        <v>984</v>
      </c>
      <c r="P529" t="s">
        <v>985</v>
      </c>
    </row>
    <row r="530" ht="15.75" customHeight="1">
      <c r="A530">
        <v>533.0</v>
      </c>
      <c r="B530">
        <v>37.0</v>
      </c>
      <c r="C530">
        <v>197.0</v>
      </c>
      <c r="D530">
        <v>3.0</v>
      </c>
      <c r="E530" t="str">
        <f t="shared" si="1"/>
        <v>3.025</v>
      </c>
      <c r="F530">
        <v>9.0</v>
      </c>
      <c r="G530">
        <v>2.0</v>
      </c>
      <c r="H530" t="str">
        <f t="shared" si="2"/>
        <v>18</v>
      </c>
      <c r="I530">
        <v>126.0</v>
      </c>
      <c r="J530" t="str">
        <f t="shared" si="3"/>
        <v>400.05</v>
      </c>
      <c r="K530" t="str">
        <f t="shared" si="4"/>
        <v>1508.1885</v>
      </c>
      <c r="L530" t="str">
        <f t="shared" si="5"/>
        <v>8.378825</v>
      </c>
      <c r="M530" t="str">
        <f t="shared" si="6"/>
        <v>377</v>
      </c>
      <c r="N530" t="s">
        <v>182</v>
      </c>
      <c r="O530" t="s">
        <v>986</v>
      </c>
      <c r="P530" t="s">
        <v>987</v>
      </c>
    </row>
    <row r="531" ht="15.75" customHeight="1">
      <c r="A531">
        <v>534.0</v>
      </c>
      <c r="B531">
        <v>21.0</v>
      </c>
      <c r="C531">
        <v>163.0</v>
      </c>
      <c r="D531">
        <v>3.0</v>
      </c>
      <c r="E531" t="str">
        <f t="shared" si="1"/>
        <v>3.6875</v>
      </c>
      <c r="F531">
        <v>14.0</v>
      </c>
      <c r="G531">
        <v>2.0</v>
      </c>
      <c r="H531" t="str">
        <f t="shared" si="2"/>
        <v>28</v>
      </c>
      <c r="I531">
        <v>105.0</v>
      </c>
      <c r="J531" t="str">
        <f t="shared" si="3"/>
        <v>333.375</v>
      </c>
      <c r="K531" t="str">
        <f t="shared" si="4"/>
        <v>1176.81375</v>
      </c>
      <c r="L531" t="str">
        <f t="shared" si="5"/>
        <v>4.20290625</v>
      </c>
      <c r="M531" t="str">
        <f t="shared" si="6"/>
        <v>353</v>
      </c>
      <c r="N531" t="s">
        <v>187</v>
      </c>
      <c r="O531" t="s">
        <v>988</v>
      </c>
      <c r="P531" t="s">
        <v>989</v>
      </c>
    </row>
    <row r="532" ht="15.75" customHeight="1">
      <c r="A532">
        <v>535.0</v>
      </c>
      <c r="B532">
        <v>147.0</v>
      </c>
      <c r="C532">
        <v>27.0</v>
      </c>
      <c r="D532">
        <v>8.2</v>
      </c>
      <c r="E532" t="str">
        <f t="shared" si="1"/>
        <v>3.48</v>
      </c>
      <c r="F532">
        <v>10.0</v>
      </c>
      <c r="G532">
        <v>10.0</v>
      </c>
      <c r="H532" t="str">
        <f t="shared" si="2"/>
        <v>100</v>
      </c>
      <c r="I532">
        <v>96.0</v>
      </c>
      <c r="J532" t="str">
        <f t="shared" si="3"/>
        <v>304.8</v>
      </c>
      <c r="K532" t="str">
        <f t="shared" si="4"/>
        <v>4782.312</v>
      </c>
      <c r="L532" t="str">
        <f t="shared" si="5"/>
        <v>4.782312</v>
      </c>
      <c r="M532" t="str">
        <f t="shared" si="6"/>
        <v>1569</v>
      </c>
      <c r="N532" t="s">
        <v>182</v>
      </c>
      <c r="O532" t="s">
        <v>990</v>
      </c>
      <c r="P532" t="s">
        <v>991</v>
      </c>
    </row>
    <row r="533" ht="15.75" customHeight="1">
      <c r="A533">
        <v>536.0</v>
      </c>
      <c r="B533">
        <v>22.0</v>
      </c>
      <c r="C533">
        <v>12.0</v>
      </c>
      <c r="D533">
        <v>3.0</v>
      </c>
      <c r="E533" t="str">
        <f t="shared" si="1"/>
        <v>3.24</v>
      </c>
      <c r="F533">
        <v>13.0</v>
      </c>
      <c r="G533">
        <v>20.0</v>
      </c>
      <c r="H533" t="str">
        <f t="shared" si="2"/>
        <v>260</v>
      </c>
      <c r="I533">
        <v>96.0</v>
      </c>
      <c r="J533" t="str">
        <f t="shared" si="3"/>
        <v>304.8</v>
      </c>
      <c r="K533" t="str">
        <f t="shared" si="4"/>
        <v>1042.416</v>
      </c>
      <c r="L533" t="str">
        <f t="shared" si="5"/>
        <v>0.4009292308</v>
      </c>
      <c r="M533" t="str">
        <f t="shared" si="6"/>
        <v>342</v>
      </c>
      <c r="N533" t="s">
        <v>187</v>
      </c>
      <c r="O533" t="s">
        <v>992</v>
      </c>
      <c r="P533" t="s">
        <v>993</v>
      </c>
    </row>
    <row r="534" ht="15.75" customHeight="1">
      <c r="A534">
        <v>537.0</v>
      </c>
      <c r="B534">
        <v>170.0</v>
      </c>
      <c r="C534">
        <v>97.0</v>
      </c>
      <c r="D534">
        <v>5.0</v>
      </c>
      <c r="E534" t="str">
        <f t="shared" si="1"/>
        <v>4.6</v>
      </c>
      <c r="F534">
        <v>2.0</v>
      </c>
      <c r="G534">
        <v>3.0</v>
      </c>
      <c r="H534" t="str">
        <f t="shared" si="2"/>
        <v>6</v>
      </c>
      <c r="I534">
        <v>96.0</v>
      </c>
      <c r="J534" t="str">
        <f t="shared" si="3"/>
        <v>304.8</v>
      </c>
      <c r="K534" t="str">
        <f t="shared" si="4"/>
        <v>1118.616</v>
      </c>
      <c r="L534" t="str">
        <f t="shared" si="5"/>
        <v>18.6436</v>
      </c>
      <c r="M534" t="str">
        <f t="shared" si="6"/>
        <v>367</v>
      </c>
      <c r="N534" t="s">
        <v>187</v>
      </c>
      <c r="O534" t="s">
        <v>994</v>
      </c>
      <c r="P534" t="s">
        <v>995</v>
      </c>
    </row>
    <row r="535" ht="15.75" customHeight="1">
      <c r="A535">
        <v>538.0</v>
      </c>
      <c r="B535">
        <v>78.0</v>
      </c>
      <c r="C535">
        <v>340.0</v>
      </c>
      <c r="D535">
        <v>3.0</v>
      </c>
      <c r="E535" t="str">
        <f t="shared" si="1"/>
        <v>2.9</v>
      </c>
      <c r="F535">
        <v>4.0</v>
      </c>
      <c r="G535">
        <v>1.0</v>
      </c>
      <c r="H535" t="str">
        <f t="shared" si="2"/>
        <v>4</v>
      </c>
      <c r="I535">
        <v>108.0</v>
      </c>
      <c r="J535" t="str">
        <f t="shared" si="3"/>
        <v>342.9</v>
      </c>
      <c r="K535" t="str">
        <f t="shared" si="4"/>
        <v>1169.289</v>
      </c>
      <c r="L535" t="str">
        <f t="shared" si="5"/>
        <v>29.232225</v>
      </c>
      <c r="M535" t="str">
        <f t="shared" si="6"/>
        <v>341</v>
      </c>
      <c r="N535" t="s">
        <v>182</v>
      </c>
      <c r="O535" t="s">
        <v>996</v>
      </c>
      <c r="P535" t="s">
        <v>997</v>
      </c>
    </row>
    <row r="536" ht="15.75" customHeight="1">
      <c r="A536">
        <v>539.0</v>
      </c>
      <c r="B536">
        <v>174.0</v>
      </c>
      <c r="C536">
        <v>110.0</v>
      </c>
      <c r="D536">
        <v>4.0</v>
      </c>
      <c r="E536" t="str">
        <f t="shared" si="1"/>
        <v>4.3</v>
      </c>
      <c r="F536">
        <v>2.0</v>
      </c>
      <c r="G536">
        <v>3.0</v>
      </c>
      <c r="H536" t="str">
        <f t="shared" si="2"/>
        <v>6</v>
      </c>
      <c r="I536">
        <v>108.0</v>
      </c>
      <c r="J536" t="str">
        <f t="shared" si="3"/>
        <v>342.9</v>
      </c>
      <c r="K536" t="str">
        <f t="shared" si="4"/>
        <v>1279.017</v>
      </c>
      <c r="L536" t="str">
        <f t="shared" si="5"/>
        <v>21.31695</v>
      </c>
      <c r="M536" t="str">
        <f t="shared" si="6"/>
        <v>373</v>
      </c>
      <c r="N536" t="s">
        <v>182</v>
      </c>
      <c r="O536" t="s">
        <v>998</v>
      </c>
      <c r="P536" t="s">
        <v>999</v>
      </c>
    </row>
    <row r="537" ht="15.75" customHeight="1">
      <c r="A537">
        <v>540.0</v>
      </c>
      <c r="B537">
        <v>58.0</v>
      </c>
      <c r="C537">
        <v>140.0</v>
      </c>
      <c r="D537">
        <v>3.0</v>
      </c>
      <c r="E537" t="str">
        <f t="shared" si="1"/>
        <v>2.875</v>
      </c>
      <c r="F537">
        <v>6.0</v>
      </c>
      <c r="G537">
        <v>3.0</v>
      </c>
      <c r="H537" t="str">
        <f t="shared" si="2"/>
        <v>18</v>
      </c>
      <c r="I537">
        <v>135.0</v>
      </c>
      <c r="J537" t="str">
        <f t="shared" si="3"/>
        <v>428.625</v>
      </c>
      <c r="K537" t="str">
        <f t="shared" si="4"/>
        <v>1641.63375</v>
      </c>
      <c r="L537" t="str">
        <f t="shared" si="5"/>
        <v>9.1201875</v>
      </c>
      <c r="M537" t="str">
        <f t="shared" si="6"/>
        <v>383</v>
      </c>
      <c r="N537" t="s">
        <v>182</v>
      </c>
      <c r="O537" t="s">
        <v>1000</v>
      </c>
      <c r="P537" t="s">
        <v>1001</v>
      </c>
    </row>
    <row r="538" ht="15.75" customHeight="1">
      <c r="A538">
        <v>541.0</v>
      </c>
      <c r="B538">
        <v>110.0</v>
      </c>
      <c r="C538">
        <v>150.0</v>
      </c>
      <c r="D538">
        <v>3.0</v>
      </c>
      <c r="E538" t="str">
        <f t="shared" si="1"/>
        <v>5.575</v>
      </c>
      <c r="F538">
        <v>2.0</v>
      </c>
      <c r="G538">
        <v>2.0</v>
      </c>
      <c r="H538" t="str">
        <f t="shared" si="2"/>
        <v>4</v>
      </c>
      <c r="I538">
        <v>98.0</v>
      </c>
      <c r="J538" t="str">
        <f t="shared" si="3"/>
        <v>311.15</v>
      </c>
      <c r="K538" t="str">
        <f t="shared" si="4"/>
        <v>756.0945</v>
      </c>
      <c r="L538" t="str">
        <f t="shared" si="5"/>
        <v>18.9023625</v>
      </c>
      <c r="M538" t="str">
        <f t="shared" si="6"/>
        <v>243</v>
      </c>
      <c r="N538" t="s">
        <v>182</v>
      </c>
      <c r="O538" t="s">
        <v>1002</v>
      </c>
      <c r="P538" t="s">
        <v>1001</v>
      </c>
    </row>
    <row r="539" ht="15.75" customHeight="1">
      <c r="A539">
        <v>542.0</v>
      </c>
      <c r="B539">
        <v>30.0</v>
      </c>
      <c r="C539">
        <v>45.0</v>
      </c>
      <c r="D539">
        <v>3.0</v>
      </c>
      <c r="E539" t="str">
        <f t="shared" si="1"/>
        <v>2.625</v>
      </c>
      <c r="F539">
        <v>8.0</v>
      </c>
      <c r="G539">
        <v>7.0</v>
      </c>
      <c r="H539" t="str">
        <f t="shared" si="2"/>
        <v>56</v>
      </c>
      <c r="I539">
        <v>105.0</v>
      </c>
      <c r="J539" t="str">
        <f t="shared" si="3"/>
        <v>333.375</v>
      </c>
      <c r="K539" t="str">
        <f t="shared" si="4"/>
        <v>936.78375</v>
      </c>
      <c r="L539" t="str">
        <f t="shared" si="5"/>
        <v>1.672828125</v>
      </c>
      <c r="M539" t="str">
        <f t="shared" si="6"/>
        <v>281</v>
      </c>
      <c r="N539" t="s">
        <v>182</v>
      </c>
      <c r="O539" t="s">
        <v>1003</v>
      </c>
      <c r="P539" t="s">
        <v>1004</v>
      </c>
    </row>
    <row r="540" ht="15.75" customHeight="1">
      <c r="A540">
        <v>543.0</v>
      </c>
      <c r="B540">
        <v>64.0</v>
      </c>
      <c r="C540">
        <v>196.0</v>
      </c>
      <c r="D540">
        <v>3.0</v>
      </c>
      <c r="E540" t="str">
        <f t="shared" si="1"/>
        <v>4.025</v>
      </c>
      <c r="F540">
        <v>4.0</v>
      </c>
      <c r="G540">
        <v>2.0</v>
      </c>
      <c r="H540" t="str">
        <f t="shared" si="2"/>
        <v>8</v>
      </c>
      <c r="I540">
        <v>126.0</v>
      </c>
      <c r="J540" t="str">
        <f t="shared" si="3"/>
        <v>400.05</v>
      </c>
      <c r="K540" t="str">
        <f t="shared" si="4"/>
        <v>1140.1425</v>
      </c>
      <c r="L540" t="str">
        <f t="shared" si="5"/>
        <v>14.25178125</v>
      </c>
      <c r="M540" t="str">
        <f t="shared" si="6"/>
        <v>285</v>
      </c>
      <c r="N540" t="s">
        <v>182</v>
      </c>
      <c r="O540" t="s">
        <v>1005</v>
      </c>
      <c r="P540" t="s">
        <v>1006</v>
      </c>
    </row>
    <row r="541" ht="15.75" customHeight="1">
      <c r="A541">
        <v>543.0</v>
      </c>
      <c r="B541">
        <v>64.0</v>
      </c>
      <c r="C541">
        <v>196.0</v>
      </c>
      <c r="D541">
        <v>3.0</v>
      </c>
      <c r="E541" t="str">
        <f t="shared" si="1"/>
        <v>4.025</v>
      </c>
      <c r="F541">
        <v>4.0</v>
      </c>
      <c r="G541">
        <v>2.0</v>
      </c>
      <c r="H541" t="str">
        <f t="shared" si="2"/>
        <v>8</v>
      </c>
      <c r="I541">
        <v>126.0</v>
      </c>
      <c r="J541" t="str">
        <f t="shared" si="3"/>
        <v>400.05</v>
      </c>
      <c r="K541" t="str">
        <f t="shared" si="4"/>
        <v>1140.1425</v>
      </c>
      <c r="L541" t="str">
        <f t="shared" si="5"/>
        <v>14.25178125</v>
      </c>
      <c r="M541" t="str">
        <f t="shared" si="6"/>
        <v>285</v>
      </c>
      <c r="N541" t="s">
        <v>182</v>
      </c>
      <c r="O541" t="s">
        <v>1005</v>
      </c>
      <c r="P541" t="s">
        <v>1007</v>
      </c>
    </row>
    <row r="542" ht="15.75" customHeight="1">
      <c r="A542">
        <v>544.0</v>
      </c>
      <c r="B542">
        <v>84.0</v>
      </c>
      <c r="C542">
        <v>393.0</v>
      </c>
      <c r="D542">
        <v>3.0</v>
      </c>
      <c r="E542" t="str">
        <f t="shared" si="1"/>
        <v>7.05</v>
      </c>
      <c r="F542">
        <v>4.0</v>
      </c>
      <c r="G542">
        <v>1.0</v>
      </c>
      <c r="H542" t="str">
        <f t="shared" si="2"/>
        <v>4</v>
      </c>
      <c r="I542">
        <v>126.0</v>
      </c>
      <c r="J542" t="str">
        <f t="shared" si="3"/>
        <v>400.05</v>
      </c>
      <c r="K542" t="str">
        <f t="shared" si="4"/>
        <v>1460.1825</v>
      </c>
      <c r="L542" t="str">
        <f t="shared" si="5"/>
        <v>36.5045625</v>
      </c>
      <c r="M542" t="str">
        <f t="shared" si="6"/>
        <v>365</v>
      </c>
      <c r="N542" t="s">
        <v>187</v>
      </c>
      <c r="O542" t="s">
        <v>1008</v>
      </c>
      <c r="P542" s="126" t="s">
        <v>1009</v>
      </c>
    </row>
    <row r="543" ht="15.75" customHeight="1">
      <c r="A543">
        <v>545.0</v>
      </c>
      <c r="B543">
        <v>222.0</v>
      </c>
      <c r="C543">
        <v>130.0</v>
      </c>
      <c r="D543">
        <v>5.0</v>
      </c>
      <c r="E543" t="str">
        <f t="shared" si="1"/>
        <v>3.35</v>
      </c>
      <c r="F543">
        <v>1.0</v>
      </c>
      <c r="G543">
        <v>3.0</v>
      </c>
      <c r="H543" t="str">
        <f t="shared" si="2"/>
        <v>3</v>
      </c>
      <c r="I543">
        <v>126.0</v>
      </c>
      <c r="J543" t="str">
        <f t="shared" si="3"/>
        <v>400.05</v>
      </c>
      <c r="K543" t="str">
        <f t="shared" si="4"/>
        <v>976.122</v>
      </c>
      <c r="L543" t="str">
        <f t="shared" si="5"/>
        <v>32.5374</v>
      </c>
      <c r="M543" t="str">
        <f t="shared" si="6"/>
        <v>244</v>
      </c>
      <c r="N543" t="s">
        <v>182</v>
      </c>
      <c r="O543" t="s">
        <v>1010</v>
      </c>
      <c r="P543" s="126" t="s">
        <v>1011</v>
      </c>
    </row>
    <row r="544" ht="15.75" customHeight="1">
      <c r="A544">
        <v>546.0</v>
      </c>
      <c r="B544">
        <v>130.0</v>
      </c>
      <c r="C544">
        <v>181.0</v>
      </c>
      <c r="D544">
        <v>4.0</v>
      </c>
      <c r="E544" t="str">
        <f t="shared" si="1"/>
        <v>5.266666667</v>
      </c>
      <c r="F544">
        <v>2.0</v>
      </c>
      <c r="G544">
        <v>3.0</v>
      </c>
      <c r="H544" t="str">
        <f t="shared" si="2"/>
        <v>6</v>
      </c>
      <c r="I544">
        <v>176.0</v>
      </c>
      <c r="J544" t="str">
        <f t="shared" si="3"/>
        <v>558.8</v>
      </c>
      <c r="K544" t="str">
        <f t="shared" si="4"/>
        <v>1592.58</v>
      </c>
      <c r="L544" t="str">
        <f t="shared" si="5"/>
        <v>26.543</v>
      </c>
      <c r="M544" t="str">
        <f t="shared" si="6"/>
        <v>285</v>
      </c>
      <c r="N544" t="s">
        <v>182</v>
      </c>
      <c r="O544" t="s">
        <v>1012</v>
      </c>
      <c r="P544" t="s">
        <v>1013</v>
      </c>
    </row>
    <row r="545" ht="15.75" customHeight="1">
      <c r="A545">
        <v>547.0</v>
      </c>
      <c r="B545">
        <v>80.0</v>
      </c>
      <c r="C545">
        <v>23.0</v>
      </c>
      <c r="D545">
        <v>3.0</v>
      </c>
      <c r="E545" t="str">
        <f t="shared" si="1"/>
        <v>2.929166667</v>
      </c>
      <c r="F545">
        <v>3.0</v>
      </c>
      <c r="G545">
        <v>12.0</v>
      </c>
      <c r="H545" t="str">
        <f t="shared" si="2"/>
        <v>36</v>
      </c>
      <c r="I545">
        <v>98.0</v>
      </c>
      <c r="J545" t="str">
        <f t="shared" si="3"/>
        <v>311.15</v>
      </c>
      <c r="K545" t="str">
        <f t="shared" si="4"/>
        <v>827.659</v>
      </c>
      <c r="L545" t="str">
        <f t="shared" si="5"/>
        <v>2.299052778</v>
      </c>
      <c r="M545" t="str">
        <f t="shared" si="6"/>
        <v>266</v>
      </c>
      <c r="N545" t="s">
        <v>182</v>
      </c>
      <c r="O545" t="s">
        <v>1014</v>
      </c>
      <c r="P545" t="s">
        <v>1015</v>
      </c>
    </row>
    <row r="546" ht="15.75" customHeight="1">
      <c r="A546">
        <v>548.0</v>
      </c>
      <c r="B546">
        <v>45.0</v>
      </c>
      <c r="C546">
        <v>60.0</v>
      </c>
      <c r="D546">
        <v>3.0</v>
      </c>
      <c r="E546" t="str">
        <f t="shared" si="1"/>
        <v>3.5</v>
      </c>
      <c r="F546">
        <v>8.0</v>
      </c>
      <c r="G546">
        <v>6.0</v>
      </c>
      <c r="H546" t="str">
        <f t="shared" si="2"/>
        <v>48</v>
      </c>
      <c r="I546">
        <v>120.0</v>
      </c>
      <c r="J546" t="str">
        <f t="shared" si="3"/>
        <v>381</v>
      </c>
      <c r="K546" t="str">
        <f t="shared" si="4"/>
        <v>1527.81</v>
      </c>
      <c r="L546" t="str">
        <f t="shared" si="5"/>
        <v>3.1829375</v>
      </c>
      <c r="M546" t="str">
        <f t="shared" si="6"/>
        <v>401</v>
      </c>
      <c r="N546" t="s">
        <v>182</v>
      </c>
      <c r="O546" t="s">
        <v>1016</v>
      </c>
      <c r="P546" t="s">
        <v>1017</v>
      </c>
    </row>
    <row r="547" ht="15.75" customHeight="1">
      <c r="A547">
        <v>549.0</v>
      </c>
      <c r="B547">
        <v>40.0</v>
      </c>
      <c r="C547">
        <v>550.0</v>
      </c>
      <c r="D547">
        <v>3.0</v>
      </c>
      <c r="E547" t="str">
        <f t="shared" si="1"/>
        <v>8.8</v>
      </c>
      <c r="F547">
        <v>9.0</v>
      </c>
      <c r="G547">
        <v>1.0</v>
      </c>
      <c r="H547" t="str">
        <f t="shared" si="2"/>
        <v>9</v>
      </c>
      <c r="I547">
        <v>176.0</v>
      </c>
      <c r="J547" t="str">
        <f t="shared" si="3"/>
        <v>558.8</v>
      </c>
      <c r="K547" t="str">
        <f t="shared" si="4"/>
        <v>2257.552</v>
      </c>
      <c r="L547" t="str">
        <f t="shared" si="5"/>
        <v>25.08391111</v>
      </c>
      <c r="M547" t="str">
        <f t="shared" si="6"/>
        <v>404</v>
      </c>
      <c r="N547" t="s">
        <v>182</v>
      </c>
      <c r="O547" t="s">
        <v>1018</v>
      </c>
      <c r="P547" t="s">
        <v>1015</v>
      </c>
    </row>
    <row r="548" ht="15.75" customHeight="1">
      <c r="A548">
        <v>550.0</v>
      </c>
      <c r="B548">
        <v>58.0</v>
      </c>
      <c r="C548">
        <v>155.0</v>
      </c>
      <c r="D548">
        <v>3.0</v>
      </c>
      <c r="E548" t="str">
        <f t="shared" si="1"/>
        <v>6.925</v>
      </c>
      <c r="F548">
        <v>6.0</v>
      </c>
      <c r="G548">
        <v>3.0</v>
      </c>
      <c r="H548" t="str">
        <f t="shared" si="2"/>
        <v>18</v>
      </c>
      <c r="I548">
        <v>153.0</v>
      </c>
      <c r="J548" t="str">
        <f t="shared" si="3"/>
        <v>485.775</v>
      </c>
      <c r="K548" t="str">
        <f t="shared" si="4"/>
        <v>1860.51825</v>
      </c>
      <c r="L548" t="str">
        <f t="shared" si="5"/>
        <v>10.3362125</v>
      </c>
      <c r="M548" t="str">
        <f t="shared" si="6"/>
        <v>383</v>
      </c>
      <c r="N548" t="s">
        <v>182</v>
      </c>
      <c r="O548" t="s">
        <v>1019</v>
      </c>
      <c r="P548" t="s">
        <v>1020</v>
      </c>
    </row>
    <row r="549" ht="15.75" customHeight="1">
      <c r="A549">
        <v>551.0</v>
      </c>
      <c r="B549">
        <v>45.0</v>
      </c>
      <c r="C549">
        <v>80.0</v>
      </c>
      <c r="D549">
        <v>3.0</v>
      </c>
      <c r="E549" t="str">
        <f t="shared" si="1"/>
        <v>3.34375</v>
      </c>
      <c r="F549">
        <v>8.0</v>
      </c>
      <c r="G549">
        <v>4.0</v>
      </c>
      <c r="H549" t="str">
        <f t="shared" si="2"/>
        <v>32</v>
      </c>
      <c r="I549">
        <v>105.0</v>
      </c>
      <c r="J549" t="str">
        <f t="shared" si="3"/>
        <v>333.375</v>
      </c>
      <c r="K549" t="str">
        <f t="shared" si="4"/>
        <v>1336.83375</v>
      </c>
      <c r="L549" t="str">
        <f t="shared" si="5"/>
        <v>4.177605469</v>
      </c>
      <c r="M549" t="str">
        <f t="shared" si="6"/>
        <v>401</v>
      </c>
      <c r="N549" t="s">
        <v>182</v>
      </c>
      <c r="O549" t="s">
        <v>1021</v>
      </c>
      <c r="P549" t="s">
        <v>1022</v>
      </c>
    </row>
    <row r="550" ht="15.75" customHeight="1">
      <c r="A550">
        <v>552.0</v>
      </c>
      <c r="B550">
        <v>40.0</v>
      </c>
      <c r="C550">
        <v>75.0</v>
      </c>
      <c r="D550">
        <v>3.0</v>
      </c>
      <c r="E550" t="str">
        <f t="shared" si="1"/>
        <v>2.7875</v>
      </c>
      <c r="F550">
        <v>9.0</v>
      </c>
      <c r="G550">
        <v>4.0</v>
      </c>
      <c r="H550" t="str">
        <f t="shared" si="2"/>
        <v>36</v>
      </c>
      <c r="I550">
        <v>98.0</v>
      </c>
      <c r="J550" t="str">
        <f t="shared" si="3"/>
        <v>311.15</v>
      </c>
      <c r="K550" t="str">
        <f t="shared" si="4"/>
        <v>1257.046</v>
      </c>
      <c r="L550" t="str">
        <f t="shared" si="5"/>
        <v>3.491794444</v>
      </c>
      <c r="M550" t="str">
        <f t="shared" si="6"/>
        <v>404</v>
      </c>
      <c r="N550" t="s">
        <v>182</v>
      </c>
      <c r="O550" t="s">
        <v>1023</v>
      </c>
      <c r="P550" t="s">
        <v>1024</v>
      </c>
    </row>
    <row r="551" ht="15.75" customHeight="1">
      <c r="A551">
        <v>553.0</v>
      </c>
      <c r="B551">
        <v>105.0</v>
      </c>
      <c r="C551">
        <v>290.0</v>
      </c>
      <c r="D551">
        <v>3.0</v>
      </c>
      <c r="E551" t="str">
        <f t="shared" si="1"/>
        <v>14.8</v>
      </c>
      <c r="F551">
        <v>3.0</v>
      </c>
      <c r="G551">
        <v>1.0</v>
      </c>
      <c r="H551" t="str">
        <f t="shared" si="2"/>
        <v>3</v>
      </c>
      <c r="I551">
        <v>96.0</v>
      </c>
      <c r="J551" t="str">
        <f t="shared" si="3"/>
        <v>304.8</v>
      </c>
      <c r="K551" t="str">
        <f t="shared" si="4"/>
        <v>1039.368</v>
      </c>
      <c r="L551" t="str">
        <f t="shared" si="5"/>
        <v>34.6456</v>
      </c>
      <c r="M551" t="str">
        <f t="shared" si="6"/>
        <v>341</v>
      </c>
      <c r="N551" t="s">
        <v>182</v>
      </c>
      <c r="O551" t="s">
        <v>1025</v>
      </c>
      <c r="P551" t="s">
        <v>1026</v>
      </c>
    </row>
    <row r="552" ht="15.75" customHeight="1">
      <c r="A552">
        <v>554.0</v>
      </c>
      <c r="B552">
        <v>30.0</v>
      </c>
      <c r="C552">
        <v>90.0</v>
      </c>
      <c r="D552">
        <v>3.0</v>
      </c>
      <c r="E552" t="str">
        <f t="shared" si="1"/>
        <v>5.25</v>
      </c>
      <c r="F552">
        <v>11.0</v>
      </c>
      <c r="G552">
        <v>4.0</v>
      </c>
      <c r="H552" t="str">
        <f t="shared" si="2"/>
        <v>44</v>
      </c>
      <c r="I552">
        <v>120.0</v>
      </c>
      <c r="J552" t="str">
        <f t="shared" si="3"/>
        <v>381</v>
      </c>
      <c r="K552" t="str">
        <f t="shared" si="4"/>
        <v>1447.8</v>
      </c>
      <c r="L552" t="str">
        <f t="shared" si="5"/>
        <v>3.290454545</v>
      </c>
      <c r="M552" t="str">
        <f t="shared" si="6"/>
        <v>380</v>
      </c>
      <c r="N552" t="s">
        <v>182</v>
      </c>
      <c r="O552" t="s">
        <v>1027</v>
      </c>
      <c r="P552" t="s">
        <v>1028</v>
      </c>
    </row>
    <row r="553" ht="15.75" customHeight="1">
      <c r="A553">
        <v>555.0</v>
      </c>
      <c r="B553">
        <v>97.0</v>
      </c>
      <c r="C553">
        <v>75.0</v>
      </c>
      <c r="D553">
        <v>4.0</v>
      </c>
      <c r="E553" t="str">
        <f t="shared" si="1"/>
        <v>2.7875</v>
      </c>
      <c r="F553">
        <v>2.0</v>
      </c>
      <c r="G553">
        <v>4.0</v>
      </c>
      <c r="H553" t="str">
        <f t="shared" si="2"/>
        <v>8</v>
      </c>
      <c r="I553">
        <v>98.0</v>
      </c>
      <c r="J553" t="str">
        <f t="shared" si="3"/>
        <v>311.15</v>
      </c>
      <c r="K553" t="str">
        <f t="shared" si="4"/>
        <v>681.4185</v>
      </c>
      <c r="L553" t="str">
        <f t="shared" si="5"/>
        <v>8.51773125</v>
      </c>
      <c r="M553" t="str">
        <f t="shared" si="6"/>
        <v>219</v>
      </c>
      <c r="N553" t="s">
        <v>182</v>
      </c>
      <c r="O553" t="s">
        <v>1029</v>
      </c>
      <c r="P553" t="s">
        <v>1030</v>
      </c>
    </row>
    <row r="554" ht="15.75" customHeight="1">
      <c r="A554">
        <v>556.0</v>
      </c>
      <c r="B554">
        <v>70.0</v>
      </c>
      <c r="C554">
        <v>70.0</v>
      </c>
      <c r="D554">
        <v>3.0</v>
      </c>
      <c r="E554" t="str">
        <f t="shared" si="1"/>
        <v>6.2</v>
      </c>
      <c r="F554">
        <v>4.0</v>
      </c>
      <c r="G554">
        <v>5.0</v>
      </c>
      <c r="H554" t="str">
        <f t="shared" si="2"/>
        <v>20</v>
      </c>
      <c r="I554">
        <v>120.0</v>
      </c>
      <c r="J554" t="str">
        <f t="shared" si="3"/>
        <v>381</v>
      </c>
      <c r="K554" t="str">
        <f t="shared" si="4"/>
        <v>1177.29</v>
      </c>
      <c r="L554" t="str">
        <f t="shared" si="5"/>
        <v>5.88645</v>
      </c>
      <c r="M554" t="str">
        <f t="shared" si="6"/>
        <v>309</v>
      </c>
      <c r="N554" t="s">
        <v>182</v>
      </c>
      <c r="O554" t="s">
        <v>1031</v>
      </c>
      <c r="P554" t="s">
        <v>1032</v>
      </c>
    </row>
    <row r="555" ht="15.75" customHeight="1">
      <c r="A555">
        <v>557.0</v>
      </c>
      <c r="B555">
        <v>150.0</v>
      </c>
      <c r="C555">
        <v>56.0</v>
      </c>
      <c r="D555">
        <v>3.0</v>
      </c>
      <c r="E555" t="str">
        <f t="shared" si="1"/>
        <v>4.96</v>
      </c>
      <c r="F555">
        <v>2.0</v>
      </c>
      <c r="G555">
        <v>5.0</v>
      </c>
      <c r="H555" t="str">
        <f t="shared" si="2"/>
        <v>10</v>
      </c>
      <c r="I555">
        <v>96.0</v>
      </c>
      <c r="J555" t="str">
        <f t="shared" si="3"/>
        <v>304.8</v>
      </c>
      <c r="K555" t="str">
        <f t="shared" si="4"/>
        <v>984.504</v>
      </c>
      <c r="L555" t="str">
        <f t="shared" si="5"/>
        <v>9.84504</v>
      </c>
      <c r="M555" t="str">
        <f t="shared" si="6"/>
        <v>323</v>
      </c>
      <c r="N555" t="s">
        <v>187</v>
      </c>
      <c r="O555" t="s">
        <v>1033</v>
      </c>
      <c r="P555" t="s">
        <v>1034</v>
      </c>
    </row>
    <row r="556" ht="15.75" customHeight="1">
      <c r="A556">
        <v>558.0</v>
      </c>
      <c r="B556">
        <v>120.0</v>
      </c>
      <c r="C556">
        <v>148.0</v>
      </c>
      <c r="D556">
        <v>10.0</v>
      </c>
      <c r="E556" t="str">
        <f t="shared" si="1"/>
        <v>4.4</v>
      </c>
      <c r="F556">
        <v>2.0</v>
      </c>
      <c r="G556">
        <v>2.0</v>
      </c>
      <c r="H556" t="str">
        <f t="shared" si="2"/>
        <v>4</v>
      </c>
      <c r="I556">
        <v>96.0</v>
      </c>
      <c r="J556" t="str">
        <f t="shared" si="3"/>
        <v>304.8</v>
      </c>
      <c r="K556" t="str">
        <f t="shared" si="4"/>
        <v>844.296</v>
      </c>
      <c r="L556" t="str">
        <f t="shared" si="5"/>
        <v>21.1074</v>
      </c>
      <c r="M556" t="str">
        <f t="shared" si="6"/>
        <v>277</v>
      </c>
      <c r="N556" t="s">
        <v>187</v>
      </c>
      <c r="O556" t="s">
        <v>1035</v>
      </c>
      <c r="P556" t="s">
        <v>1036</v>
      </c>
    </row>
    <row r="557" ht="15.75" customHeight="1">
      <c r="A557">
        <v>559.0</v>
      </c>
      <c r="B557">
        <v>57.5</v>
      </c>
      <c r="C557">
        <v>38.0</v>
      </c>
      <c r="D557">
        <v>4.0</v>
      </c>
      <c r="E557" t="str">
        <f t="shared" si="1"/>
        <v>4.8625</v>
      </c>
      <c r="F557">
        <v>4.0</v>
      </c>
      <c r="G557">
        <v>8.0</v>
      </c>
      <c r="H557" t="str">
        <f t="shared" si="2"/>
        <v>32</v>
      </c>
      <c r="I557">
        <v>108.0</v>
      </c>
      <c r="J557" t="str">
        <f t="shared" si="3"/>
        <v>342.9</v>
      </c>
      <c r="K557" t="str">
        <f t="shared" si="4"/>
        <v>901.827</v>
      </c>
      <c r="L557" t="str">
        <f t="shared" si="5"/>
        <v>2.818209375</v>
      </c>
      <c r="M557" t="str">
        <f t="shared" si="6"/>
        <v>263</v>
      </c>
      <c r="N557" t="s">
        <v>187</v>
      </c>
      <c r="O557" t="s">
        <v>1037</v>
      </c>
      <c r="P557" t="s">
        <v>1038</v>
      </c>
    </row>
    <row r="558" ht="15.75" customHeight="1">
      <c r="A558">
        <v>560.0</v>
      </c>
      <c r="B558">
        <v>40.0</v>
      </c>
      <c r="C558">
        <v>70.0</v>
      </c>
      <c r="D558">
        <v>3.0</v>
      </c>
      <c r="E558" t="str">
        <f t="shared" si="1"/>
        <v>6.2</v>
      </c>
      <c r="F558">
        <v>8.0</v>
      </c>
      <c r="G558">
        <v>5.0</v>
      </c>
      <c r="H558" t="str">
        <f t="shared" si="2"/>
        <v>40</v>
      </c>
      <c r="I558">
        <v>120.0</v>
      </c>
      <c r="J558" t="str">
        <f t="shared" si="3"/>
        <v>381</v>
      </c>
      <c r="K558" t="str">
        <f t="shared" si="4"/>
        <v>1375.41</v>
      </c>
      <c r="L558" t="str">
        <f t="shared" si="5"/>
        <v>3.438525</v>
      </c>
      <c r="M558" t="str">
        <f t="shared" si="6"/>
        <v>361</v>
      </c>
      <c r="N558" t="s">
        <v>182</v>
      </c>
      <c r="O558" t="s">
        <v>1039</v>
      </c>
      <c r="P558" s="126" t="s">
        <v>1040</v>
      </c>
    </row>
    <row r="559" ht="15.75" customHeight="1">
      <c r="A559">
        <v>561.0</v>
      </c>
      <c r="B559">
        <v>54.0</v>
      </c>
      <c r="C559">
        <v>77.0</v>
      </c>
      <c r="D559">
        <v>3.0</v>
      </c>
      <c r="E559" t="str">
        <f t="shared" si="1"/>
        <v>3.01</v>
      </c>
      <c r="F559">
        <v>6.0</v>
      </c>
      <c r="G559">
        <v>5.0</v>
      </c>
      <c r="H559" t="str">
        <f t="shared" si="2"/>
        <v>30</v>
      </c>
      <c r="I559">
        <v>126.0</v>
      </c>
      <c r="J559" t="str">
        <f t="shared" si="3"/>
        <v>400.05</v>
      </c>
      <c r="K559" t="str">
        <f t="shared" si="4"/>
        <v>1436.1795</v>
      </c>
      <c r="L559" t="str">
        <f t="shared" si="5"/>
        <v>4.787265</v>
      </c>
      <c r="M559" t="str">
        <f t="shared" si="6"/>
        <v>359</v>
      </c>
      <c r="N559" t="s">
        <v>182</v>
      </c>
      <c r="O559" t="s">
        <v>1041</v>
      </c>
      <c r="P559" s="126" t="s">
        <v>1042</v>
      </c>
    </row>
    <row r="560" ht="15.75" customHeight="1">
      <c r="A560">
        <v>562.0</v>
      </c>
      <c r="B560">
        <v>67.0</v>
      </c>
      <c r="C560">
        <v>67.0</v>
      </c>
      <c r="D560">
        <v>3.0</v>
      </c>
      <c r="E560" t="str">
        <f t="shared" si="1"/>
        <v>2.85</v>
      </c>
      <c r="F560">
        <v>5.0</v>
      </c>
      <c r="G560">
        <v>8.0</v>
      </c>
      <c r="H560" t="str">
        <f t="shared" si="2"/>
        <v>40</v>
      </c>
      <c r="I560">
        <v>176.0</v>
      </c>
      <c r="J560" t="str">
        <f t="shared" si="3"/>
        <v>558.8</v>
      </c>
      <c r="K560" t="str">
        <f t="shared" si="4"/>
        <v>2050.796</v>
      </c>
      <c r="L560" t="str">
        <f t="shared" si="5"/>
        <v>5.12699</v>
      </c>
      <c r="M560" t="str">
        <f t="shared" si="6"/>
        <v>367</v>
      </c>
      <c r="N560" t="s">
        <v>182</v>
      </c>
      <c r="O560" t="s">
        <v>1043</v>
      </c>
      <c r="P560" s="126" t="s">
        <v>1044</v>
      </c>
    </row>
    <row r="561" ht="15.75" customHeight="1">
      <c r="A561">
        <v>563.0</v>
      </c>
      <c r="B561">
        <v>84.0</v>
      </c>
      <c r="C561">
        <v>80.0</v>
      </c>
      <c r="D561">
        <v>3.0</v>
      </c>
      <c r="E561" t="str">
        <f t="shared" si="1"/>
        <v>3.34375</v>
      </c>
      <c r="F561">
        <v>4.0</v>
      </c>
      <c r="G561">
        <v>4.0</v>
      </c>
      <c r="H561" t="str">
        <f t="shared" si="2"/>
        <v>16</v>
      </c>
      <c r="I561">
        <v>105.0</v>
      </c>
      <c r="J561" t="str">
        <f t="shared" si="3"/>
        <v>333.375</v>
      </c>
      <c r="K561" t="str">
        <f t="shared" si="4"/>
        <v>1216.81875</v>
      </c>
      <c r="L561" t="str">
        <f t="shared" si="5"/>
        <v>7.605117188</v>
      </c>
      <c r="M561" t="str">
        <f t="shared" si="6"/>
        <v>365</v>
      </c>
      <c r="N561" t="s">
        <v>182</v>
      </c>
      <c r="O561" t="s">
        <v>1045</v>
      </c>
      <c r="P561" s="126" t="s">
        <v>1046</v>
      </c>
    </row>
    <row r="562" ht="15.75" customHeight="1">
      <c r="A562">
        <v>564.0</v>
      </c>
      <c r="B562">
        <v>60.0</v>
      </c>
      <c r="C562">
        <v>100.0</v>
      </c>
      <c r="D562">
        <v>3.0</v>
      </c>
      <c r="E562" t="str">
        <f t="shared" si="1"/>
        <v>3.716666667</v>
      </c>
      <c r="F562">
        <v>6.0</v>
      </c>
      <c r="G562">
        <v>3.0</v>
      </c>
      <c r="H562" t="str">
        <f t="shared" si="2"/>
        <v>18</v>
      </c>
      <c r="I562">
        <v>98.0</v>
      </c>
      <c r="J562" t="str">
        <f t="shared" si="3"/>
        <v>311.15</v>
      </c>
      <c r="K562" t="str">
        <f t="shared" si="4"/>
        <v>1229.0425</v>
      </c>
      <c r="L562" t="str">
        <f t="shared" si="5"/>
        <v>6.828013889</v>
      </c>
      <c r="M562" t="str">
        <f t="shared" si="6"/>
        <v>395</v>
      </c>
      <c r="N562" t="s">
        <v>182</v>
      </c>
      <c r="O562" t="s">
        <v>1047</v>
      </c>
      <c r="P562" s="126" t="s">
        <v>1048</v>
      </c>
    </row>
    <row r="563" ht="15.75" customHeight="1">
      <c r="A563">
        <v>565.0</v>
      </c>
      <c r="B563">
        <v>85.0</v>
      </c>
      <c r="C563">
        <v>130.0</v>
      </c>
      <c r="D563">
        <v>4.0</v>
      </c>
      <c r="E563" t="str">
        <f t="shared" si="1"/>
        <v>3.35</v>
      </c>
      <c r="F563">
        <v>4.0</v>
      </c>
      <c r="G563">
        <v>3.0</v>
      </c>
      <c r="H563" t="str">
        <f t="shared" si="2"/>
        <v>12</v>
      </c>
      <c r="I563">
        <v>126.0</v>
      </c>
      <c r="J563" t="str">
        <f t="shared" si="3"/>
        <v>400.05</v>
      </c>
      <c r="K563" t="str">
        <f t="shared" si="4"/>
        <v>1492.1865</v>
      </c>
      <c r="L563" t="str">
        <f t="shared" si="5"/>
        <v>12.4348875</v>
      </c>
      <c r="M563" t="str">
        <f t="shared" si="6"/>
        <v>373</v>
      </c>
      <c r="N563" t="s">
        <v>182</v>
      </c>
      <c r="O563" t="s">
        <v>1049</v>
      </c>
      <c r="P563" s="126" t="s">
        <v>1050</v>
      </c>
    </row>
    <row r="564" ht="15.75" customHeight="1">
      <c r="A564">
        <v>566.0</v>
      </c>
      <c r="B564">
        <v>80.0</v>
      </c>
      <c r="C564">
        <v>80.0</v>
      </c>
      <c r="D564">
        <v>3.0</v>
      </c>
      <c r="E564" t="str">
        <f t="shared" si="1"/>
        <v>3.34375</v>
      </c>
      <c r="F564">
        <v>5.0</v>
      </c>
      <c r="G564">
        <v>4.0</v>
      </c>
      <c r="H564" t="str">
        <f t="shared" si="2"/>
        <v>20</v>
      </c>
      <c r="I564">
        <v>105.0</v>
      </c>
      <c r="J564" t="str">
        <f t="shared" si="3"/>
        <v>333.375</v>
      </c>
      <c r="K564" t="str">
        <f t="shared" si="4"/>
        <v>1440.18</v>
      </c>
      <c r="L564" t="str">
        <f t="shared" si="5"/>
        <v>7.2009</v>
      </c>
      <c r="M564" t="str">
        <f t="shared" si="6"/>
        <v>432</v>
      </c>
      <c r="N564" t="s">
        <v>182</v>
      </c>
      <c r="O564" t="s">
        <v>1051</v>
      </c>
      <c r="P564" t="s">
        <v>1052</v>
      </c>
    </row>
    <row r="565" ht="15.75" customHeight="1">
      <c r="A565">
        <v>567.0</v>
      </c>
      <c r="B565">
        <v>162.7</v>
      </c>
      <c r="C565">
        <v>65.0</v>
      </c>
      <c r="D565">
        <v>5.0</v>
      </c>
      <c r="E565" t="str">
        <f t="shared" si="1"/>
        <v>3.58</v>
      </c>
      <c r="F565">
        <v>2.0</v>
      </c>
      <c r="G565">
        <v>5.0</v>
      </c>
      <c r="H565" t="str">
        <f t="shared" si="2"/>
        <v>10</v>
      </c>
      <c r="I565">
        <v>108.0</v>
      </c>
      <c r="J565" t="str">
        <f t="shared" si="3"/>
        <v>342.9</v>
      </c>
      <c r="K565" t="str">
        <f t="shared" si="4"/>
        <v>1208.3796</v>
      </c>
      <c r="L565" t="str">
        <f t="shared" si="5"/>
        <v>12.083796</v>
      </c>
      <c r="M565" t="str">
        <f t="shared" si="6"/>
        <v>352.4</v>
      </c>
      <c r="N565" t="s">
        <v>182</v>
      </c>
      <c r="O565" t="s">
        <v>1053</v>
      </c>
      <c r="P565" t="s">
        <v>1054</v>
      </c>
    </row>
    <row r="566" ht="15.75" customHeight="1">
      <c r="A566">
        <v>568.0</v>
      </c>
      <c r="B566">
        <v>98.0</v>
      </c>
      <c r="C566">
        <v>68.0</v>
      </c>
      <c r="D566">
        <v>3.0</v>
      </c>
      <c r="E566" t="str">
        <f t="shared" si="1"/>
        <v>3.4375</v>
      </c>
      <c r="F566">
        <v>4.0</v>
      </c>
      <c r="G566">
        <v>6.0</v>
      </c>
      <c r="H566" t="str">
        <f t="shared" si="2"/>
        <v>24</v>
      </c>
      <c r="I566">
        <v>135.0</v>
      </c>
      <c r="J566" t="str">
        <f t="shared" si="3"/>
        <v>428.625</v>
      </c>
      <c r="K566" t="str">
        <f t="shared" si="4"/>
        <v>1804.51125</v>
      </c>
      <c r="L566" t="str">
        <f t="shared" si="5"/>
        <v>7.518796875</v>
      </c>
      <c r="M566" t="str">
        <f t="shared" si="6"/>
        <v>421</v>
      </c>
      <c r="N566" t="s">
        <v>182</v>
      </c>
      <c r="O566" t="s">
        <v>1055</v>
      </c>
      <c r="P566" t="s">
        <v>1056</v>
      </c>
    </row>
    <row r="567" ht="15.75" customHeight="1">
      <c r="A567">
        <v>569.0</v>
      </c>
      <c r="B567">
        <v>100.0</v>
      </c>
      <c r="C567">
        <v>68.0</v>
      </c>
      <c r="D567">
        <v>3.0</v>
      </c>
      <c r="E567" t="str">
        <f t="shared" si="1"/>
        <v>3.4375</v>
      </c>
      <c r="F567">
        <v>4.0</v>
      </c>
      <c r="G567">
        <v>6.0</v>
      </c>
      <c r="H567" t="str">
        <f t="shared" si="2"/>
        <v>24</v>
      </c>
      <c r="I567">
        <v>135.0</v>
      </c>
      <c r="J567" t="str">
        <f t="shared" si="3"/>
        <v>428.625</v>
      </c>
      <c r="K567" t="str">
        <f t="shared" si="4"/>
        <v>1838.80125</v>
      </c>
      <c r="L567" t="str">
        <f t="shared" si="5"/>
        <v>7.661671875</v>
      </c>
      <c r="M567" t="str">
        <f t="shared" si="6"/>
        <v>429</v>
      </c>
      <c r="N567" t="s">
        <v>182</v>
      </c>
      <c r="O567" t="s">
        <v>1057</v>
      </c>
      <c r="P567" t="s">
        <v>1058</v>
      </c>
    </row>
    <row r="568" ht="15.75" customHeight="1">
      <c r="A568">
        <v>570.0</v>
      </c>
      <c r="B568">
        <v>41.0</v>
      </c>
      <c r="C568">
        <v>211.0</v>
      </c>
      <c r="D568">
        <v>3.0</v>
      </c>
      <c r="E568" t="str">
        <f t="shared" si="1"/>
        <v>3.3125</v>
      </c>
      <c r="F568">
        <v>6.0</v>
      </c>
      <c r="G568">
        <v>2.0</v>
      </c>
      <c r="H568" t="str">
        <f t="shared" si="2"/>
        <v>12</v>
      </c>
      <c r="I568">
        <v>135.0</v>
      </c>
      <c r="J568" t="str">
        <f t="shared" si="3"/>
        <v>428.625</v>
      </c>
      <c r="K568" t="str">
        <f t="shared" si="4"/>
        <v>1204.43625</v>
      </c>
      <c r="L568" t="str">
        <f t="shared" si="5"/>
        <v>10.03696875</v>
      </c>
      <c r="M568" t="str">
        <f t="shared" si="6"/>
        <v>281</v>
      </c>
      <c r="N568" t="s">
        <v>182</v>
      </c>
      <c r="O568" t="s">
        <v>1059</v>
      </c>
      <c r="P568" t="s">
        <v>1060</v>
      </c>
    </row>
    <row r="569" ht="15.75" customHeight="1">
      <c r="A569">
        <v>571.0</v>
      </c>
      <c r="B569">
        <v>240.0</v>
      </c>
      <c r="C569">
        <v>65.0</v>
      </c>
      <c r="D569">
        <v>3.0</v>
      </c>
      <c r="E569" t="str">
        <f t="shared" si="1"/>
        <v>3.58</v>
      </c>
      <c r="F569">
        <v>1.0</v>
      </c>
      <c r="G569">
        <v>5.0</v>
      </c>
      <c r="H569" t="str">
        <f t="shared" si="2"/>
        <v>5</v>
      </c>
      <c r="I569">
        <v>108.0</v>
      </c>
      <c r="J569" t="str">
        <f t="shared" si="3"/>
        <v>342.9</v>
      </c>
      <c r="K569" t="str">
        <f t="shared" si="4"/>
        <v>891.54</v>
      </c>
      <c r="L569" t="str">
        <f t="shared" si="5"/>
        <v>17.8308</v>
      </c>
      <c r="M569" t="str">
        <f t="shared" si="6"/>
        <v>260</v>
      </c>
      <c r="N569" t="s">
        <v>182</v>
      </c>
      <c r="O569" t="s">
        <v>1061</v>
      </c>
      <c r="P569" t="s">
        <v>1062</v>
      </c>
    </row>
    <row r="570" ht="15.75" customHeight="1">
      <c r="A570">
        <v>572.0</v>
      </c>
      <c r="B570">
        <v>120.0</v>
      </c>
      <c r="C570">
        <v>285.0</v>
      </c>
      <c r="D570">
        <v>3.0</v>
      </c>
      <c r="E570" t="str">
        <f t="shared" si="1"/>
        <v>19.8</v>
      </c>
      <c r="F570">
        <v>3.0</v>
      </c>
      <c r="G570">
        <v>1.0</v>
      </c>
      <c r="H570" t="str">
        <f t="shared" si="2"/>
        <v>3</v>
      </c>
      <c r="I570">
        <v>96.0</v>
      </c>
      <c r="J570" t="str">
        <f t="shared" si="3"/>
        <v>304.8</v>
      </c>
      <c r="K570" t="str">
        <f t="shared" si="4"/>
        <v>1176.528</v>
      </c>
      <c r="L570" t="str">
        <f t="shared" si="5"/>
        <v>39.2176</v>
      </c>
      <c r="M570" t="str">
        <f t="shared" si="6"/>
        <v>386</v>
      </c>
      <c r="N570" t="s">
        <v>182</v>
      </c>
      <c r="O570" t="s">
        <v>1063</v>
      </c>
      <c r="P570" t="s">
        <v>1064</v>
      </c>
    </row>
    <row r="571" ht="15.75" customHeight="1">
      <c r="A571">
        <v>573.0</v>
      </c>
      <c r="B571">
        <v>110.0</v>
      </c>
      <c r="C571">
        <v>80.0</v>
      </c>
      <c r="D571">
        <v>4.0</v>
      </c>
      <c r="E571" t="str">
        <f t="shared" si="1"/>
        <v>3.34375</v>
      </c>
      <c r="F571">
        <v>2.0</v>
      </c>
      <c r="G571">
        <v>4.0</v>
      </c>
      <c r="H571" t="str">
        <f t="shared" si="2"/>
        <v>8</v>
      </c>
      <c r="I571">
        <v>105.0</v>
      </c>
      <c r="J571" t="str">
        <f t="shared" si="3"/>
        <v>333.375</v>
      </c>
      <c r="K571" t="str">
        <f t="shared" si="4"/>
        <v>816.76875</v>
      </c>
      <c r="L571" t="str">
        <f t="shared" si="5"/>
        <v>10.20960938</v>
      </c>
      <c r="M571" t="str">
        <f t="shared" si="6"/>
        <v>245</v>
      </c>
      <c r="N571" t="s">
        <v>182</v>
      </c>
      <c r="O571" t="s">
        <v>1065</v>
      </c>
      <c r="P571" t="s">
        <v>1066</v>
      </c>
    </row>
    <row r="572" ht="15.75" customHeight="1">
      <c r="A572">
        <v>574.0</v>
      </c>
      <c r="B572">
        <v>99.0</v>
      </c>
      <c r="C572">
        <v>80.0</v>
      </c>
      <c r="D572">
        <v>4.0</v>
      </c>
      <c r="E572" t="str">
        <f t="shared" si="1"/>
        <v>3.34375</v>
      </c>
      <c r="F572">
        <v>4.0</v>
      </c>
      <c r="G572">
        <v>4.0</v>
      </c>
      <c r="H572" t="str">
        <f t="shared" si="2"/>
        <v>16</v>
      </c>
      <c r="I572">
        <v>105.0</v>
      </c>
      <c r="J572" t="str">
        <f t="shared" si="3"/>
        <v>333.375</v>
      </c>
      <c r="K572" t="str">
        <f t="shared" si="4"/>
        <v>1430.17875</v>
      </c>
      <c r="L572" t="str">
        <f t="shared" si="5"/>
        <v>8.938617188</v>
      </c>
      <c r="M572" t="str">
        <f t="shared" si="6"/>
        <v>429</v>
      </c>
      <c r="N572" t="s">
        <v>187</v>
      </c>
      <c r="O572" t="s">
        <v>1067</v>
      </c>
      <c r="P572" t="s">
        <v>1068</v>
      </c>
    </row>
    <row r="573" ht="15.75" customHeight="1">
      <c r="A573">
        <v>575.0</v>
      </c>
      <c r="B573">
        <v>42.0</v>
      </c>
      <c r="C573">
        <v>340.0</v>
      </c>
      <c r="D573">
        <v>3.0</v>
      </c>
      <c r="E573" t="str">
        <f t="shared" si="1"/>
        <v>2.9</v>
      </c>
      <c r="F573">
        <v>1.0</v>
      </c>
      <c r="G573">
        <v>1.0</v>
      </c>
      <c r="H573" t="str">
        <f t="shared" si="2"/>
        <v>1</v>
      </c>
      <c r="I573">
        <v>108.0</v>
      </c>
      <c r="J573" t="str">
        <f t="shared" si="3"/>
        <v>342.9</v>
      </c>
      <c r="K573" t="str">
        <f t="shared" si="4"/>
        <v>212.598</v>
      </c>
      <c r="L573" t="str">
        <f t="shared" si="5"/>
        <v>21.2598</v>
      </c>
      <c r="M573" t="str">
        <f t="shared" si="6"/>
        <v>62</v>
      </c>
      <c r="N573" t="s">
        <v>187</v>
      </c>
      <c r="O573" t="s">
        <v>1069</v>
      </c>
      <c r="P573" t="s">
        <v>1070</v>
      </c>
    </row>
    <row r="574" ht="15.75" customHeight="1">
      <c r="A574">
        <v>576.0</v>
      </c>
      <c r="B574">
        <v>110.0</v>
      </c>
      <c r="C574">
        <v>155.0</v>
      </c>
      <c r="D574">
        <v>3.0</v>
      </c>
      <c r="E574" t="str">
        <f t="shared" si="1"/>
        <v>6.925</v>
      </c>
      <c r="F574">
        <v>3.0</v>
      </c>
      <c r="G574">
        <v>2.0</v>
      </c>
      <c r="H574" t="str">
        <f t="shared" si="2"/>
        <v>6</v>
      </c>
      <c r="I574">
        <v>102.0</v>
      </c>
      <c r="J574" t="str">
        <f t="shared" si="3"/>
        <v>323.85</v>
      </c>
      <c r="K574" t="str">
        <f t="shared" si="4"/>
        <v>1152.906</v>
      </c>
      <c r="L574" t="str">
        <f t="shared" si="5"/>
        <v>19.2151</v>
      </c>
      <c r="M574" t="str">
        <f t="shared" si="6"/>
        <v>356</v>
      </c>
      <c r="N574" t="s">
        <v>182</v>
      </c>
      <c r="O574" t="s">
        <v>1071</v>
      </c>
      <c r="P574" t="s">
        <v>1072</v>
      </c>
    </row>
    <row r="575" ht="15.75" customHeight="1">
      <c r="A575">
        <v>577.0</v>
      </c>
      <c r="B575">
        <v>65.0</v>
      </c>
      <c r="C575">
        <v>130.0</v>
      </c>
      <c r="D575">
        <v>3.0</v>
      </c>
      <c r="E575" t="str">
        <f t="shared" si="1"/>
        <v>3.35</v>
      </c>
      <c r="F575">
        <v>6.0</v>
      </c>
      <c r="G575">
        <v>3.0</v>
      </c>
      <c r="H575" t="str">
        <f t="shared" si="2"/>
        <v>18</v>
      </c>
      <c r="I575">
        <v>126.0</v>
      </c>
      <c r="J575" t="str">
        <f t="shared" si="3"/>
        <v>400.05</v>
      </c>
      <c r="K575" t="str">
        <f t="shared" si="4"/>
        <v>1700.2125</v>
      </c>
      <c r="L575" t="str">
        <f t="shared" si="5"/>
        <v>9.445625</v>
      </c>
      <c r="M575" t="str">
        <f t="shared" si="6"/>
        <v>425</v>
      </c>
      <c r="N575" t="s">
        <v>182</v>
      </c>
      <c r="O575" t="s">
        <v>1073</v>
      </c>
      <c r="P575" t="s">
        <v>1074</v>
      </c>
    </row>
    <row r="576" ht="15.75" customHeight="1">
      <c r="A576">
        <v>578.0</v>
      </c>
      <c r="B576">
        <v>123.0</v>
      </c>
      <c r="C576">
        <v>460.0</v>
      </c>
      <c r="D576">
        <v>10.0</v>
      </c>
      <c r="E576" t="str">
        <f t="shared" si="1"/>
        <v>25.775</v>
      </c>
      <c r="F576">
        <v>2.0</v>
      </c>
      <c r="G576">
        <v>1.0</v>
      </c>
      <c r="H576" t="str">
        <f t="shared" si="2"/>
        <v>2</v>
      </c>
      <c r="I576">
        <v>153.0</v>
      </c>
      <c r="J576" t="str">
        <f t="shared" si="3"/>
        <v>485.775</v>
      </c>
      <c r="K576" t="str">
        <f t="shared" si="4"/>
        <v>1374.74325</v>
      </c>
      <c r="L576" t="str">
        <f t="shared" si="5"/>
        <v>68.7371625</v>
      </c>
      <c r="M576" t="str">
        <f t="shared" si="6"/>
        <v>283</v>
      </c>
      <c r="N576" t="s">
        <v>187</v>
      </c>
      <c r="O576" t="s">
        <v>1075</v>
      </c>
      <c r="P576" t="s">
        <v>1070</v>
      </c>
    </row>
    <row r="577" ht="15.75" customHeight="1">
      <c r="A577">
        <v>579.0</v>
      </c>
      <c r="B577">
        <v>25.0</v>
      </c>
      <c r="C577">
        <v>20.0</v>
      </c>
      <c r="D577">
        <v>3.0</v>
      </c>
      <c r="E577" t="str">
        <f t="shared" si="1"/>
        <v>3.132142857</v>
      </c>
      <c r="F577">
        <v>8.0</v>
      </c>
      <c r="G577">
        <v>14.0</v>
      </c>
      <c r="H577" t="str">
        <f t="shared" si="2"/>
        <v>112</v>
      </c>
      <c r="I577">
        <v>102.0</v>
      </c>
      <c r="J577" t="str">
        <f t="shared" si="3"/>
        <v>323.85</v>
      </c>
      <c r="K577" t="str">
        <f t="shared" si="4"/>
        <v>780.4785</v>
      </c>
      <c r="L577" t="str">
        <f t="shared" si="5"/>
        <v>0.6968558036</v>
      </c>
      <c r="M577" t="str">
        <f t="shared" si="6"/>
        <v>241</v>
      </c>
      <c r="N577" t="s">
        <v>187</v>
      </c>
      <c r="O577" t="s">
        <v>1076</v>
      </c>
      <c r="P577" t="s">
        <v>1077</v>
      </c>
    </row>
    <row r="578" ht="15.75" customHeight="1">
      <c r="A578">
        <v>580.0</v>
      </c>
      <c r="B578">
        <v>82.0</v>
      </c>
      <c r="C578">
        <v>46.0</v>
      </c>
      <c r="D578">
        <v>3.0</v>
      </c>
      <c r="E578" t="str">
        <f t="shared" si="1"/>
        <v>2.985714286</v>
      </c>
      <c r="F578">
        <v>3.0</v>
      </c>
      <c r="G578">
        <v>7.0</v>
      </c>
      <c r="H578" t="str">
        <f t="shared" si="2"/>
        <v>21</v>
      </c>
      <c r="I578">
        <v>108.0</v>
      </c>
      <c r="J578" t="str">
        <f t="shared" si="3"/>
        <v>342.9</v>
      </c>
      <c r="K578" t="str">
        <f t="shared" si="4"/>
        <v>932.688</v>
      </c>
      <c r="L578" t="str">
        <f t="shared" si="5"/>
        <v>4.441371429</v>
      </c>
      <c r="M578" t="str">
        <f t="shared" si="6"/>
        <v>272</v>
      </c>
      <c r="N578" t="s">
        <v>187</v>
      </c>
      <c r="O578" t="s">
        <v>1078</v>
      </c>
      <c r="P578" t="s">
        <v>1079</v>
      </c>
    </row>
    <row r="579" ht="15.75" customHeight="1">
      <c r="A579">
        <v>581.0</v>
      </c>
      <c r="B579">
        <v>78.0</v>
      </c>
      <c r="C579">
        <v>340.0</v>
      </c>
      <c r="D579">
        <v>3.0</v>
      </c>
      <c r="E579" t="str">
        <f t="shared" si="1"/>
        <v>2.9</v>
      </c>
      <c r="F579">
        <v>4.0</v>
      </c>
      <c r="G579">
        <v>1.0</v>
      </c>
      <c r="H579" t="str">
        <f t="shared" si="2"/>
        <v>4</v>
      </c>
      <c r="I579">
        <v>108.0</v>
      </c>
      <c r="J579" t="str">
        <f t="shared" si="3"/>
        <v>342.9</v>
      </c>
      <c r="K579" t="str">
        <f t="shared" si="4"/>
        <v>1169.289</v>
      </c>
      <c r="L579" t="str">
        <f t="shared" si="5"/>
        <v>29.232225</v>
      </c>
      <c r="M579" t="str">
        <f t="shared" si="6"/>
        <v>341</v>
      </c>
      <c r="N579" t="s">
        <v>187</v>
      </c>
      <c r="O579" t="s">
        <v>1080</v>
      </c>
      <c r="P579" t="s">
        <v>1070</v>
      </c>
    </row>
    <row r="580" ht="15.75" customHeight="1">
      <c r="A580">
        <v>582.0</v>
      </c>
      <c r="B580">
        <v>70.0</v>
      </c>
      <c r="C580">
        <v>155.0</v>
      </c>
      <c r="D580">
        <v>3.0</v>
      </c>
      <c r="E580" t="str">
        <f t="shared" si="1"/>
        <v>6.925</v>
      </c>
      <c r="F580">
        <v>5.0</v>
      </c>
      <c r="G580">
        <v>3.0</v>
      </c>
      <c r="H580" t="str">
        <f t="shared" si="2"/>
        <v>15</v>
      </c>
      <c r="I580">
        <v>153.0</v>
      </c>
      <c r="J580" t="str">
        <f t="shared" si="3"/>
        <v>485.775</v>
      </c>
      <c r="K580" t="str">
        <f t="shared" si="4"/>
        <v>1855.6605</v>
      </c>
      <c r="L580" t="str">
        <f t="shared" si="5"/>
        <v>12.37107</v>
      </c>
      <c r="M580" t="str">
        <f t="shared" si="6"/>
        <v>382</v>
      </c>
      <c r="N580" t="s">
        <v>182</v>
      </c>
      <c r="O580" t="s">
        <v>1081</v>
      </c>
      <c r="P580" t="s">
        <v>1082</v>
      </c>
    </row>
    <row r="581" ht="15.75" customHeight="1">
      <c r="A581">
        <v>583.0</v>
      </c>
      <c r="B581">
        <v>65.0</v>
      </c>
      <c r="C581">
        <v>110.0</v>
      </c>
      <c r="D581">
        <v>3.0</v>
      </c>
      <c r="E581" t="str">
        <f t="shared" si="1"/>
        <v>4.3</v>
      </c>
      <c r="F581">
        <v>4.0</v>
      </c>
      <c r="G581">
        <v>3.0</v>
      </c>
      <c r="H581" t="str">
        <f t="shared" si="2"/>
        <v>12</v>
      </c>
      <c r="I581">
        <v>108.0</v>
      </c>
      <c r="J581" t="str">
        <f t="shared" si="3"/>
        <v>342.9</v>
      </c>
      <c r="K581" t="str">
        <f t="shared" si="4"/>
        <v>990.981</v>
      </c>
      <c r="L581" t="str">
        <f t="shared" si="5"/>
        <v>8.258175</v>
      </c>
      <c r="M581" t="str">
        <f t="shared" si="6"/>
        <v>289</v>
      </c>
      <c r="N581" t="s">
        <v>182</v>
      </c>
      <c r="O581" t="s">
        <v>1083</v>
      </c>
      <c r="P581" t="s">
        <v>1084</v>
      </c>
    </row>
    <row r="582" ht="15.75" customHeight="1">
      <c r="A582">
        <v>584.0</v>
      </c>
      <c r="B582">
        <v>81.0</v>
      </c>
      <c r="C582">
        <v>155.0</v>
      </c>
      <c r="D582">
        <v>3.0</v>
      </c>
      <c r="E582" t="str">
        <f t="shared" si="1"/>
        <v>6.925</v>
      </c>
      <c r="F582">
        <v>2.0</v>
      </c>
      <c r="G582">
        <v>2.0</v>
      </c>
      <c r="H582" t="str">
        <f t="shared" si="2"/>
        <v>4</v>
      </c>
      <c r="I582">
        <v>102.0</v>
      </c>
      <c r="J582" t="str">
        <f t="shared" si="3"/>
        <v>323.85</v>
      </c>
      <c r="K582" t="str">
        <f t="shared" si="4"/>
        <v>599.1225</v>
      </c>
      <c r="L582" t="str">
        <f t="shared" si="5"/>
        <v>14.9780625</v>
      </c>
      <c r="M582" t="str">
        <f t="shared" si="6"/>
        <v>185</v>
      </c>
      <c r="N582" t="s">
        <v>182</v>
      </c>
      <c r="O582" t="s">
        <v>1085</v>
      </c>
      <c r="P582" t="s">
        <v>1086</v>
      </c>
    </row>
    <row r="583" ht="15.75" customHeight="1">
      <c r="A583">
        <v>585.0</v>
      </c>
      <c r="B583">
        <v>60.0</v>
      </c>
      <c r="C583">
        <v>110.0</v>
      </c>
      <c r="D583">
        <v>3.0</v>
      </c>
      <c r="E583" t="str">
        <f t="shared" si="1"/>
        <v>4.3</v>
      </c>
      <c r="F583">
        <v>4.0</v>
      </c>
      <c r="G583">
        <v>3.0</v>
      </c>
      <c r="H583" t="str">
        <f t="shared" si="2"/>
        <v>12</v>
      </c>
      <c r="I583">
        <v>108.0</v>
      </c>
      <c r="J583" t="str">
        <f t="shared" si="3"/>
        <v>342.9</v>
      </c>
      <c r="K583" t="str">
        <f t="shared" si="4"/>
        <v>922.401</v>
      </c>
      <c r="L583" t="str">
        <f t="shared" si="5"/>
        <v>7.686675</v>
      </c>
      <c r="M583" t="str">
        <f t="shared" si="6"/>
        <v>269</v>
      </c>
      <c r="N583" t="s">
        <v>182</v>
      </c>
      <c r="O583" t="s">
        <v>1087</v>
      </c>
      <c r="P583" t="s">
        <v>1088</v>
      </c>
    </row>
    <row r="584" ht="15.75" customHeight="1">
      <c r="A584">
        <v>586.0</v>
      </c>
      <c r="B584">
        <v>178.0</v>
      </c>
      <c r="C584">
        <v>60.0</v>
      </c>
      <c r="D584">
        <v>3.0</v>
      </c>
      <c r="E584" t="str">
        <f t="shared" si="1"/>
        <v>33.13333333</v>
      </c>
      <c r="F584">
        <v>2.0</v>
      </c>
      <c r="G584">
        <v>6.0</v>
      </c>
      <c r="H584" t="str">
        <f t="shared" si="2"/>
        <v>12</v>
      </c>
      <c r="I584">
        <v>176.0</v>
      </c>
      <c r="J584" t="str">
        <f t="shared" si="3"/>
        <v>558.8</v>
      </c>
      <c r="K584" t="str">
        <f t="shared" si="4"/>
        <v>2117.852</v>
      </c>
      <c r="L584" t="str">
        <f t="shared" si="5"/>
        <v>17.64876667</v>
      </c>
      <c r="M584" t="str">
        <f t="shared" si="6"/>
        <v>379</v>
      </c>
      <c r="N584" t="s">
        <v>182</v>
      </c>
      <c r="O584" t="s">
        <v>1089</v>
      </c>
      <c r="P584" t="s">
        <v>1090</v>
      </c>
    </row>
    <row r="585" ht="15.75" customHeight="1">
      <c r="A585">
        <v>587.0</v>
      </c>
      <c r="B585">
        <v>70.0</v>
      </c>
      <c r="C585">
        <v>34.0</v>
      </c>
      <c r="D585">
        <v>3.0</v>
      </c>
      <c r="E585" t="str">
        <f t="shared" si="1"/>
        <v>3.041666667</v>
      </c>
      <c r="F585">
        <v>5.0</v>
      </c>
      <c r="G585">
        <v>9.0</v>
      </c>
      <c r="H585" t="str">
        <f t="shared" si="2"/>
        <v>45</v>
      </c>
      <c r="I585">
        <v>105.0</v>
      </c>
      <c r="J585" t="str">
        <f t="shared" si="3"/>
        <v>333.375</v>
      </c>
      <c r="K585" t="str">
        <f t="shared" si="4"/>
        <v>1273.4925</v>
      </c>
      <c r="L585" t="str">
        <f t="shared" si="5"/>
        <v>2.829983333</v>
      </c>
      <c r="M585" t="str">
        <f t="shared" si="6"/>
        <v>382</v>
      </c>
      <c r="N585" t="s">
        <v>182</v>
      </c>
      <c r="O585" t="s">
        <v>1091</v>
      </c>
      <c r="P585" t="s">
        <v>1092</v>
      </c>
    </row>
    <row r="586" ht="15.75" customHeight="1">
      <c r="A586">
        <v>588.0</v>
      </c>
      <c r="B586">
        <v>143.0</v>
      </c>
      <c r="C586">
        <v>117.0</v>
      </c>
      <c r="D586">
        <v>3.0</v>
      </c>
      <c r="E586" t="str">
        <f t="shared" si="1"/>
        <v>4.44375</v>
      </c>
      <c r="F586">
        <v>2.0</v>
      </c>
      <c r="G586">
        <v>4.0</v>
      </c>
      <c r="H586" t="str">
        <f t="shared" si="2"/>
        <v>8</v>
      </c>
      <c r="I586">
        <v>153.0</v>
      </c>
      <c r="J586" t="str">
        <f t="shared" si="3"/>
        <v>485.775</v>
      </c>
      <c r="K586" t="str">
        <f t="shared" si="4"/>
        <v>1501.04475</v>
      </c>
      <c r="L586" t="str">
        <f t="shared" si="5"/>
        <v>18.76305938</v>
      </c>
      <c r="M586" t="str">
        <f t="shared" si="6"/>
        <v>309</v>
      </c>
      <c r="N586" t="s">
        <v>182</v>
      </c>
      <c r="O586" t="s">
        <v>1093</v>
      </c>
      <c r="P586" t="s">
        <v>1094</v>
      </c>
    </row>
    <row r="587" ht="15.75" customHeight="1">
      <c r="A587">
        <v>589.0</v>
      </c>
      <c r="B587">
        <v>15.0</v>
      </c>
      <c r="C587">
        <v>49.0</v>
      </c>
      <c r="D587">
        <v>3.0</v>
      </c>
      <c r="E587" t="str">
        <f t="shared" si="1"/>
        <v>2.858333333</v>
      </c>
      <c r="F587">
        <v>10.0</v>
      </c>
      <c r="G587">
        <v>6.0</v>
      </c>
      <c r="H587" t="str">
        <f t="shared" si="2"/>
        <v>60</v>
      </c>
      <c r="I587">
        <v>98.0</v>
      </c>
      <c r="J587" t="str">
        <f t="shared" si="3"/>
        <v>311.15</v>
      </c>
      <c r="K587" t="str">
        <f t="shared" si="4"/>
        <v>612.9655</v>
      </c>
      <c r="L587" t="str">
        <f t="shared" si="5"/>
        <v>1.021609167</v>
      </c>
      <c r="M587" t="str">
        <f t="shared" si="6"/>
        <v>197</v>
      </c>
      <c r="N587" t="s">
        <v>182</v>
      </c>
      <c r="O587" t="s">
        <v>1095</v>
      </c>
      <c r="P587" t="s">
        <v>1096</v>
      </c>
    </row>
    <row r="588" ht="15.75" customHeight="1">
      <c r="A588">
        <v>590.0</v>
      </c>
      <c r="B588">
        <v>86.0</v>
      </c>
      <c r="C588">
        <v>75.0</v>
      </c>
      <c r="D588">
        <v>4.0</v>
      </c>
      <c r="E588" t="str">
        <f t="shared" si="1"/>
        <v>2.7875</v>
      </c>
      <c r="F588">
        <v>4.0</v>
      </c>
      <c r="G588">
        <v>4.0</v>
      </c>
      <c r="H588" t="str">
        <f t="shared" si="2"/>
        <v>16</v>
      </c>
      <c r="I588">
        <v>98.0</v>
      </c>
      <c r="J588" t="str">
        <f t="shared" si="3"/>
        <v>311.15</v>
      </c>
      <c r="K588" t="str">
        <f t="shared" si="4"/>
        <v>1173.0355</v>
      </c>
      <c r="L588" t="str">
        <f t="shared" si="5"/>
        <v>7.331471875</v>
      </c>
      <c r="M588" t="str">
        <f t="shared" si="6"/>
        <v>377</v>
      </c>
      <c r="N588" t="s">
        <v>187</v>
      </c>
      <c r="O588" t="s">
        <v>1097</v>
      </c>
      <c r="P588" t="s">
        <v>1098</v>
      </c>
    </row>
    <row r="589" ht="15.75" customHeight="1">
      <c r="A589">
        <v>591.0</v>
      </c>
      <c r="B589">
        <v>80.0</v>
      </c>
      <c r="C589">
        <v>180.0</v>
      </c>
      <c r="D589">
        <v>3.0</v>
      </c>
      <c r="E589" t="str">
        <f t="shared" si="1"/>
        <v>6.266666667</v>
      </c>
      <c r="F589">
        <v>5.0</v>
      </c>
      <c r="G589">
        <v>3.0</v>
      </c>
      <c r="H589" t="str">
        <f t="shared" si="2"/>
        <v>15</v>
      </c>
      <c r="I589">
        <v>176.0</v>
      </c>
      <c r="J589" t="str">
        <f t="shared" si="3"/>
        <v>558.8</v>
      </c>
      <c r="K589" t="str">
        <f t="shared" si="4"/>
        <v>2414.016</v>
      </c>
      <c r="L589" t="str">
        <f t="shared" si="5"/>
        <v>16.09344</v>
      </c>
      <c r="M589" t="str">
        <f t="shared" si="6"/>
        <v>432</v>
      </c>
      <c r="N589" t="s">
        <v>187</v>
      </c>
      <c r="O589" t="s">
        <v>1099</v>
      </c>
      <c r="P589" t="s">
        <v>1100</v>
      </c>
    </row>
    <row r="590" ht="15.75" customHeight="1">
      <c r="A590">
        <v>592.0</v>
      </c>
      <c r="B590">
        <v>90.0</v>
      </c>
      <c r="C590">
        <v>39.0</v>
      </c>
      <c r="D590">
        <v>3.0</v>
      </c>
      <c r="E590" t="str">
        <f t="shared" si="1"/>
        <v>3.8625</v>
      </c>
      <c r="F590">
        <v>4.0</v>
      </c>
      <c r="G590">
        <v>8.0</v>
      </c>
      <c r="H590" t="str">
        <f t="shared" si="2"/>
        <v>32</v>
      </c>
      <c r="I590">
        <v>108.0</v>
      </c>
      <c r="J590" t="str">
        <f t="shared" si="3"/>
        <v>342.9</v>
      </c>
      <c r="K590" t="str">
        <f t="shared" si="4"/>
        <v>1333.881</v>
      </c>
      <c r="L590" t="str">
        <f t="shared" si="5"/>
        <v>4.168378125</v>
      </c>
      <c r="M590" t="str">
        <f t="shared" si="6"/>
        <v>389</v>
      </c>
      <c r="N590" t="s">
        <v>187</v>
      </c>
      <c r="O590" t="s">
        <v>1101</v>
      </c>
      <c r="P590" t="s">
        <v>1098</v>
      </c>
    </row>
    <row r="591" ht="15.75" customHeight="1">
      <c r="A591">
        <v>593.0</v>
      </c>
      <c r="B591">
        <v>45.0</v>
      </c>
      <c r="C591">
        <v>130.0</v>
      </c>
      <c r="D591">
        <v>3.0</v>
      </c>
      <c r="E591" t="str">
        <f t="shared" si="1"/>
        <v>3.35</v>
      </c>
      <c r="F591">
        <v>8.0</v>
      </c>
      <c r="G591">
        <v>3.0</v>
      </c>
      <c r="H591" t="str">
        <f t="shared" si="2"/>
        <v>24</v>
      </c>
      <c r="I591">
        <v>126.0</v>
      </c>
      <c r="J591" t="str">
        <f t="shared" si="3"/>
        <v>400.05</v>
      </c>
      <c r="K591" t="str">
        <f t="shared" si="4"/>
        <v>1604.2005</v>
      </c>
      <c r="L591" t="str">
        <f t="shared" si="5"/>
        <v>6.68416875</v>
      </c>
      <c r="M591" t="str">
        <f t="shared" si="6"/>
        <v>401</v>
      </c>
      <c r="N591" t="s">
        <v>182</v>
      </c>
      <c r="O591" t="s">
        <v>1102</v>
      </c>
      <c r="P591" t="s">
        <v>1103</v>
      </c>
    </row>
    <row r="592" ht="15.75" customHeight="1">
      <c r="A592">
        <v>594.0</v>
      </c>
      <c r="B592">
        <v>140.0</v>
      </c>
      <c r="C592">
        <v>180.0</v>
      </c>
      <c r="D592">
        <v>3.0</v>
      </c>
      <c r="E592" t="str">
        <f t="shared" si="1"/>
        <v>6.266666667</v>
      </c>
      <c r="F592">
        <v>2.0</v>
      </c>
      <c r="G592">
        <v>3.0</v>
      </c>
      <c r="H592" t="str">
        <f t="shared" si="2"/>
        <v>6</v>
      </c>
      <c r="I592">
        <v>176.0</v>
      </c>
      <c r="J592" t="str">
        <f t="shared" si="3"/>
        <v>558.8</v>
      </c>
      <c r="K592" t="str">
        <f t="shared" si="4"/>
        <v>1693.164</v>
      </c>
      <c r="L592" t="str">
        <f t="shared" si="5"/>
        <v>28.2194</v>
      </c>
      <c r="M592" t="str">
        <f t="shared" si="6"/>
        <v>303</v>
      </c>
      <c r="N592" t="s">
        <v>182</v>
      </c>
      <c r="O592" t="s">
        <v>1104</v>
      </c>
      <c r="P592" t="s">
        <v>1105</v>
      </c>
    </row>
    <row r="593" ht="15.75" customHeight="1">
      <c r="A593">
        <v>595.0</v>
      </c>
      <c r="B593">
        <v>150.0</v>
      </c>
      <c r="C593">
        <v>60.0</v>
      </c>
      <c r="D593">
        <v>5.0</v>
      </c>
      <c r="E593" t="str">
        <f t="shared" si="1"/>
        <v>3.5</v>
      </c>
      <c r="F593">
        <v>2.0</v>
      </c>
      <c r="G593">
        <v>6.0</v>
      </c>
      <c r="H593" t="str">
        <f t="shared" si="2"/>
        <v>12</v>
      </c>
      <c r="I593">
        <v>120.0</v>
      </c>
      <c r="J593" t="str">
        <f t="shared" si="3"/>
        <v>381</v>
      </c>
      <c r="K593" t="str">
        <f t="shared" si="4"/>
        <v>1245.87</v>
      </c>
      <c r="L593" t="str">
        <f t="shared" si="5"/>
        <v>10.38225</v>
      </c>
      <c r="M593" t="str">
        <f t="shared" si="6"/>
        <v>327</v>
      </c>
      <c r="N593" t="s">
        <v>182</v>
      </c>
      <c r="O593" t="s">
        <v>1106</v>
      </c>
      <c r="P593" t="s">
        <v>1107</v>
      </c>
    </row>
    <row r="594" ht="15.75" customHeight="1">
      <c r="A594">
        <v>596.0</v>
      </c>
      <c r="B594">
        <v>50.0</v>
      </c>
      <c r="C594">
        <v>40.0</v>
      </c>
      <c r="D594">
        <v>4.0</v>
      </c>
      <c r="E594" t="str">
        <f t="shared" si="1"/>
        <v>3.542857143</v>
      </c>
      <c r="F594">
        <v>6.0</v>
      </c>
      <c r="G594">
        <v>7.0</v>
      </c>
      <c r="H594" t="str">
        <f t="shared" si="2"/>
        <v>42</v>
      </c>
      <c r="I594">
        <v>96.0</v>
      </c>
      <c r="J594" t="str">
        <f t="shared" si="3"/>
        <v>304.8</v>
      </c>
      <c r="K594" t="str">
        <f t="shared" si="4"/>
        <v>1039.368</v>
      </c>
      <c r="L594" t="str">
        <f t="shared" si="5"/>
        <v>2.474685714</v>
      </c>
      <c r="M594" t="str">
        <f t="shared" si="6"/>
        <v>341</v>
      </c>
      <c r="N594" t="s">
        <v>182</v>
      </c>
      <c r="O594" t="s">
        <v>1108</v>
      </c>
      <c r="P594" t="s">
        <v>1107</v>
      </c>
    </row>
    <row r="595" ht="15.75" customHeight="1">
      <c r="A595">
        <v>597.0</v>
      </c>
      <c r="B595">
        <v>198.5</v>
      </c>
      <c r="C595">
        <v>85.0</v>
      </c>
      <c r="D595">
        <v>5.0</v>
      </c>
      <c r="E595" t="str">
        <f t="shared" si="1"/>
        <v>5.805</v>
      </c>
      <c r="F595">
        <v>2.0</v>
      </c>
      <c r="G595">
        <v>5.0</v>
      </c>
      <c r="H595" t="str">
        <f t="shared" si="2"/>
        <v>10</v>
      </c>
      <c r="I595">
        <v>143.0</v>
      </c>
      <c r="J595" t="str">
        <f t="shared" si="3"/>
        <v>454.025</v>
      </c>
      <c r="K595" t="str">
        <f t="shared" si="4"/>
        <v>1925.066</v>
      </c>
      <c r="L595" t="str">
        <f t="shared" si="5"/>
        <v>19.25066</v>
      </c>
      <c r="M595" t="str">
        <f t="shared" si="6"/>
        <v>424</v>
      </c>
      <c r="N595" t="s">
        <v>182</v>
      </c>
      <c r="O595" t="s">
        <v>1109</v>
      </c>
      <c r="P595" t="s">
        <v>1110</v>
      </c>
    </row>
    <row r="596" ht="15.75" customHeight="1">
      <c r="A596">
        <v>598.0</v>
      </c>
      <c r="B596">
        <v>80.0</v>
      </c>
      <c r="C596">
        <v>78.0</v>
      </c>
      <c r="D596">
        <v>3.0</v>
      </c>
      <c r="E596" t="str">
        <f t="shared" si="1"/>
        <v>2.9625</v>
      </c>
      <c r="F596">
        <v>4.0</v>
      </c>
      <c r="G596">
        <v>4.0</v>
      </c>
      <c r="H596" t="str">
        <f t="shared" si="2"/>
        <v>16</v>
      </c>
      <c r="I596">
        <v>102.0</v>
      </c>
      <c r="J596" t="str">
        <f t="shared" si="3"/>
        <v>323.85</v>
      </c>
      <c r="K596" t="str">
        <f t="shared" si="4"/>
        <v>1130.2365</v>
      </c>
      <c r="L596" t="str">
        <f t="shared" si="5"/>
        <v>7.063978125</v>
      </c>
      <c r="M596" t="str">
        <f t="shared" si="6"/>
        <v>349</v>
      </c>
      <c r="N596" t="s">
        <v>187</v>
      </c>
      <c r="O596" t="s">
        <v>1111</v>
      </c>
      <c r="P596" t="s">
        <v>1112</v>
      </c>
    </row>
    <row r="597" ht="15.75" customHeight="1">
      <c r="A597">
        <v>599.0</v>
      </c>
      <c r="B597">
        <v>87.0</v>
      </c>
      <c r="C597">
        <v>87.0</v>
      </c>
      <c r="D597">
        <v>3.0</v>
      </c>
      <c r="E597" t="str">
        <f t="shared" si="1"/>
        <v>3.805</v>
      </c>
      <c r="F597">
        <v>4.0</v>
      </c>
      <c r="G597">
        <v>5.0</v>
      </c>
      <c r="H597" t="str">
        <f t="shared" si="2"/>
        <v>20</v>
      </c>
      <c r="I597">
        <v>143.0</v>
      </c>
      <c r="J597" t="str">
        <f t="shared" si="3"/>
        <v>454.025</v>
      </c>
      <c r="K597" t="str">
        <f t="shared" si="4"/>
        <v>1711.67425</v>
      </c>
      <c r="L597" t="str">
        <f t="shared" si="5"/>
        <v>8.55837125</v>
      </c>
      <c r="M597" t="str">
        <f t="shared" si="6"/>
        <v>377</v>
      </c>
      <c r="N597" t="s">
        <v>187</v>
      </c>
      <c r="O597" t="s">
        <v>1113</v>
      </c>
      <c r="P597" t="s">
        <v>1114</v>
      </c>
    </row>
    <row r="598" ht="15.75" customHeight="1">
      <c r="A598">
        <v>600.0</v>
      </c>
      <c r="B598">
        <v>112.0</v>
      </c>
      <c r="C598">
        <v>87.0</v>
      </c>
      <c r="D598">
        <v>3.0</v>
      </c>
      <c r="E598" t="str">
        <f t="shared" si="1"/>
        <v>3.805</v>
      </c>
      <c r="F598">
        <v>2.0</v>
      </c>
      <c r="G598">
        <v>5.0</v>
      </c>
      <c r="H598" t="str">
        <f t="shared" si="2"/>
        <v>10</v>
      </c>
      <c r="I598">
        <v>143.0</v>
      </c>
      <c r="J598" t="str">
        <f t="shared" si="3"/>
        <v>454.025</v>
      </c>
      <c r="K598" t="str">
        <f t="shared" si="4"/>
        <v>1121.44175</v>
      </c>
      <c r="L598" t="str">
        <f t="shared" si="5"/>
        <v>11.2144175</v>
      </c>
      <c r="M598" t="str">
        <f t="shared" si="6"/>
        <v>247</v>
      </c>
      <c r="N598" t="s">
        <v>187</v>
      </c>
      <c r="O598" t="s">
        <v>1115</v>
      </c>
      <c r="P598" t="s">
        <v>1116</v>
      </c>
    </row>
    <row r="599" ht="15.75" customHeight="1">
      <c r="A599">
        <v>601.0</v>
      </c>
      <c r="B599">
        <v>90.5</v>
      </c>
      <c r="C599">
        <v>43.5</v>
      </c>
      <c r="D599">
        <v>3.0</v>
      </c>
      <c r="E599" t="str">
        <f t="shared" si="1"/>
        <v>2.764285714</v>
      </c>
      <c r="F599">
        <v>4.0</v>
      </c>
      <c r="G599">
        <v>7.0</v>
      </c>
      <c r="H599" t="str">
        <f t="shared" si="2"/>
        <v>28</v>
      </c>
      <c r="I599">
        <v>102.0</v>
      </c>
      <c r="J599" t="str">
        <f t="shared" si="3"/>
        <v>323.85</v>
      </c>
      <c r="K599" t="str">
        <f t="shared" si="4"/>
        <v>1266.2535</v>
      </c>
      <c r="L599" t="str">
        <f t="shared" si="5"/>
        <v>4.522333929</v>
      </c>
      <c r="M599" t="str">
        <f t="shared" si="6"/>
        <v>391</v>
      </c>
      <c r="N599" t="s">
        <v>182</v>
      </c>
      <c r="O599" t="s">
        <v>1117</v>
      </c>
      <c r="P599" t="s">
        <v>1118</v>
      </c>
    </row>
    <row r="600" ht="15.75" customHeight="1">
      <c r="A600">
        <v>602.0</v>
      </c>
      <c r="B600">
        <v>37.0</v>
      </c>
      <c r="C600">
        <v>240.0</v>
      </c>
      <c r="D600">
        <v>3.0</v>
      </c>
      <c r="E600" t="str">
        <f t="shared" si="1"/>
        <v>2.8875</v>
      </c>
      <c r="F600">
        <v>8.0</v>
      </c>
      <c r="G600">
        <v>2.0</v>
      </c>
      <c r="H600" t="str">
        <f t="shared" si="2"/>
        <v>16</v>
      </c>
      <c r="I600">
        <v>153.0</v>
      </c>
      <c r="J600" t="str">
        <f t="shared" si="3"/>
        <v>485.775</v>
      </c>
      <c r="K600" t="str">
        <f t="shared" si="4"/>
        <v>1637.06175</v>
      </c>
      <c r="L600" t="str">
        <f t="shared" si="5"/>
        <v>10.23163594</v>
      </c>
      <c r="M600" t="str">
        <f t="shared" si="6"/>
        <v>337</v>
      </c>
      <c r="N600" t="s">
        <v>182</v>
      </c>
      <c r="O600" t="s">
        <v>1119</v>
      </c>
      <c r="P600" t="s">
        <v>1120</v>
      </c>
    </row>
    <row r="601" ht="15.75" customHeight="1">
      <c r="A601">
        <v>603.0</v>
      </c>
      <c r="B601">
        <v>96.0</v>
      </c>
      <c r="C601">
        <v>36.0</v>
      </c>
      <c r="D601">
        <v>3.0</v>
      </c>
      <c r="E601" t="str">
        <f t="shared" si="1"/>
        <v>2.89375</v>
      </c>
      <c r="F601">
        <v>4.0</v>
      </c>
      <c r="G601">
        <v>8.0</v>
      </c>
      <c r="H601" t="str">
        <f t="shared" si="2"/>
        <v>32</v>
      </c>
      <c r="I601">
        <v>98.0</v>
      </c>
      <c r="J601" t="str">
        <f t="shared" si="3"/>
        <v>311.15</v>
      </c>
      <c r="K601" t="str">
        <f t="shared" si="4"/>
        <v>1285.0495</v>
      </c>
      <c r="L601" t="str">
        <f t="shared" si="5"/>
        <v>4.015779688</v>
      </c>
      <c r="M601" t="str">
        <f t="shared" si="6"/>
        <v>413</v>
      </c>
      <c r="N601" t="s">
        <v>182</v>
      </c>
      <c r="O601" t="s">
        <v>1121</v>
      </c>
      <c r="P601" t="s">
        <v>1122</v>
      </c>
    </row>
    <row r="602" ht="15.75" customHeight="1">
      <c r="A602">
        <v>604.0</v>
      </c>
      <c r="B602">
        <v>195.0</v>
      </c>
      <c r="C602">
        <v>145.0</v>
      </c>
      <c r="D602">
        <v>5.0</v>
      </c>
      <c r="E602" t="str">
        <f t="shared" si="1"/>
        <v>6.341666667</v>
      </c>
      <c r="F602">
        <v>2.0</v>
      </c>
      <c r="G602">
        <v>3.0</v>
      </c>
      <c r="H602" t="str">
        <f t="shared" si="2"/>
        <v>6</v>
      </c>
      <c r="I602">
        <v>143.0</v>
      </c>
      <c r="J602" t="str">
        <f t="shared" si="3"/>
        <v>454.025</v>
      </c>
      <c r="K602" t="str">
        <f t="shared" si="4"/>
        <v>1893.28425</v>
      </c>
      <c r="L602" t="str">
        <f t="shared" si="5"/>
        <v>31.5547375</v>
      </c>
      <c r="M602" t="str">
        <f t="shared" si="6"/>
        <v>417</v>
      </c>
      <c r="N602" t="s">
        <v>182</v>
      </c>
      <c r="O602" t="s">
        <v>1123</v>
      </c>
      <c r="P602" t="s">
        <v>1124</v>
      </c>
    </row>
    <row r="603" ht="15.75" customHeight="1">
      <c r="A603">
        <v>605.0</v>
      </c>
      <c r="B603">
        <v>37.0</v>
      </c>
      <c r="C603">
        <v>83.0</v>
      </c>
      <c r="D603">
        <v>3.0</v>
      </c>
      <c r="E603" t="str">
        <f t="shared" si="1"/>
        <v>2.725</v>
      </c>
      <c r="F603">
        <v>8.0</v>
      </c>
      <c r="G603">
        <v>5.0</v>
      </c>
      <c r="H603" t="str">
        <f t="shared" si="2"/>
        <v>40</v>
      </c>
      <c r="I603">
        <v>135.0</v>
      </c>
      <c r="J603" t="str">
        <f t="shared" si="3"/>
        <v>428.625</v>
      </c>
      <c r="K603" t="str">
        <f t="shared" si="4"/>
        <v>1444.46625</v>
      </c>
      <c r="L603" t="str">
        <f t="shared" si="5"/>
        <v>3.611165625</v>
      </c>
      <c r="M603" t="str">
        <f t="shared" si="6"/>
        <v>337</v>
      </c>
      <c r="N603" t="s">
        <v>182</v>
      </c>
      <c r="O603" t="s">
        <v>1125</v>
      </c>
      <c r="P603" t="s">
        <v>1126</v>
      </c>
    </row>
    <row r="604" ht="15.75" customHeight="1">
      <c r="A604">
        <v>606.0</v>
      </c>
      <c r="B604">
        <v>17.78</v>
      </c>
      <c r="C604">
        <v>30.0</v>
      </c>
      <c r="D604">
        <v>3.0</v>
      </c>
      <c r="E604" t="str">
        <f t="shared" si="1"/>
        <v>3.3375</v>
      </c>
      <c r="F604">
        <v>6.0</v>
      </c>
      <c r="G604">
        <v>10.0</v>
      </c>
      <c r="H604" t="str">
        <f t="shared" si="2"/>
        <v>60</v>
      </c>
      <c r="I604">
        <v>105.0</v>
      </c>
      <c r="J604" t="str">
        <f t="shared" si="3"/>
        <v>333.375</v>
      </c>
      <c r="K604" t="str">
        <f t="shared" si="4"/>
        <v>472.3257</v>
      </c>
      <c r="L604" t="str">
        <f t="shared" si="5"/>
        <v>0.7872095</v>
      </c>
      <c r="M604" t="str">
        <f t="shared" si="6"/>
        <v>141.68</v>
      </c>
      <c r="N604" t="s">
        <v>182</v>
      </c>
      <c r="O604" t="s">
        <v>1127</v>
      </c>
      <c r="P604" t="s">
        <v>1128</v>
      </c>
    </row>
    <row r="605" ht="15.75" customHeight="1">
      <c r="A605">
        <v>607.0</v>
      </c>
      <c r="B605">
        <v>17.78</v>
      </c>
      <c r="C605">
        <v>34.0</v>
      </c>
      <c r="D605">
        <v>3.0</v>
      </c>
      <c r="E605" t="str">
        <f t="shared" si="1"/>
        <v>3.041666667</v>
      </c>
      <c r="F605">
        <v>6.0</v>
      </c>
      <c r="G605">
        <v>9.0</v>
      </c>
      <c r="H605" t="str">
        <f t="shared" si="2"/>
        <v>54</v>
      </c>
      <c r="I605">
        <v>105.0</v>
      </c>
      <c r="J605" t="str">
        <f t="shared" si="3"/>
        <v>333.375</v>
      </c>
      <c r="K605" t="str">
        <f t="shared" si="4"/>
        <v>472.3257</v>
      </c>
      <c r="L605" t="str">
        <f t="shared" si="5"/>
        <v>0.8746772222</v>
      </c>
      <c r="M605" t="str">
        <f t="shared" si="6"/>
        <v>141.68</v>
      </c>
      <c r="N605" t="s">
        <v>182</v>
      </c>
      <c r="O605" t="s">
        <v>1129</v>
      </c>
      <c r="P605" t="s">
        <v>1130</v>
      </c>
    </row>
    <row r="606" ht="15.75" customHeight="1">
      <c r="A606">
        <v>608.0</v>
      </c>
      <c r="B606">
        <v>90.0</v>
      </c>
      <c r="C606">
        <v>159.0</v>
      </c>
      <c r="D606">
        <v>3.0</v>
      </c>
      <c r="E606" t="str">
        <f t="shared" si="1"/>
        <v>2.925</v>
      </c>
      <c r="F606">
        <v>4.0</v>
      </c>
      <c r="G606">
        <v>3.0</v>
      </c>
      <c r="H606" t="str">
        <f t="shared" si="2"/>
        <v>12</v>
      </c>
      <c r="I606">
        <v>153.0</v>
      </c>
      <c r="J606" t="str">
        <f t="shared" si="3"/>
        <v>485.775</v>
      </c>
      <c r="K606" t="str">
        <f t="shared" si="4"/>
        <v>1889.66475</v>
      </c>
      <c r="L606" t="str">
        <f t="shared" si="5"/>
        <v>15.74720625</v>
      </c>
      <c r="M606" t="str">
        <f t="shared" si="6"/>
        <v>389</v>
      </c>
      <c r="N606" t="s">
        <v>182</v>
      </c>
      <c r="O606" t="s">
        <v>1131</v>
      </c>
      <c r="P606" t="s">
        <v>1132</v>
      </c>
    </row>
    <row r="607" ht="15.75" customHeight="1">
      <c r="A607">
        <v>609.0</v>
      </c>
      <c r="B607">
        <v>96.0</v>
      </c>
      <c r="C607">
        <v>70.0</v>
      </c>
      <c r="D607">
        <v>3.0</v>
      </c>
      <c r="E607" t="str">
        <f t="shared" si="1"/>
        <v>6.2</v>
      </c>
      <c r="F607">
        <v>4.0</v>
      </c>
      <c r="G607">
        <v>5.0</v>
      </c>
      <c r="H607" t="str">
        <f t="shared" si="2"/>
        <v>20</v>
      </c>
      <c r="I607">
        <v>120.0</v>
      </c>
      <c r="J607" t="str">
        <f t="shared" si="3"/>
        <v>381</v>
      </c>
      <c r="K607" t="str">
        <f t="shared" si="4"/>
        <v>1573.53</v>
      </c>
      <c r="L607" t="str">
        <f t="shared" si="5"/>
        <v>7.86765</v>
      </c>
      <c r="M607" t="str">
        <f t="shared" si="6"/>
        <v>413</v>
      </c>
      <c r="N607" t="s">
        <v>187</v>
      </c>
      <c r="O607" t="s">
        <v>1133</v>
      </c>
      <c r="P607" t="s">
        <v>1134</v>
      </c>
    </row>
    <row r="608" ht="15.75" customHeight="1">
      <c r="A608">
        <v>610.0</v>
      </c>
      <c r="B608">
        <v>95.0</v>
      </c>
      <c r="C608">
        <v>77.5</v>
      </c>
      <c r="D608">
        <v>3.0</v>
      </c>
      <c r="E608" t="str">
        <f t="shared" si="1"/>
        <v>3.4625</v>
      </c>
      <c r="F608">
        <v>4.0</v>
      </c>
      <c r="G608">
        <v>4.0</v>
      </c>
      <c r="H608" t="str">
        <f t="shared" si="2"/>
        <v>16</v>
      </c>
      <c r="I608">
        <v>102.0</v>
      </c>
      <c r="J608" t="str">
        <f t="shared" si="3"/>
        <v>323.85</v>
      </c>
      <c r="K608" t="str">
        <f t="shared" si="4"/>
        <v>1324.5465</v>
      </c>
      <c r="L608" t="str">
        <f t="shared" si="5"/>
        <v>8.278415625</v>
      </c>
      <c r="M608" t="str">
        <f t="shared" si="6"/>
        <v>409</v>
      </c>
      <c r="N608" t="s">
        <v>182</v>
      </c>
      <c r="O608" t="s">
        <v>1135</v>
      </c>
      <c r="P608" t="s">
        <v>1136</v>
      </c>
    </row>
    <row r="609" ht="15.75" customHeight="1">
      <c r="A609">
        <v>611.0</v>
      </c>
      <c r="B609">
        <v>148.5</v>
      </c>
      <c r="C609">
        <v>85.0</v>
      </c>
      <c r="D609">
        <v>3.0</v>
      </c>
      <c r="E609" t="str">
        <f t="shared" si="1"/>
        <v>5.805</v>
      </c>
      <c r="F609">
        <v>2.0</v>
      </c>
      <c r="G609">
        <v>5.0</v>
      </c>
      <c r="H609" t="str">
        <f t="shared" si="2"/>
        <v>10</v>
      </c>
      <c r="I609">
        <v>143.0</v>
      </c>
      <c r="J609" t="str">
        <f t="shared" si="3"/>
        <v>454.025</v>
      </c>
      <c r="K609" t="str">
        <f t="shared" si="4"/>
        <v>1452.88</v>
      </c>
      <c r="L609" t="str">
        <f t="shared" si="5"/>
        <v>14.5288</v>
      </c>
      <c r="M609" t="str">
        <f t="shared" si="6"/>
        <v>320</v>
      </c>
      <c r="N609" t="s">
        <v>182</v>
      </c>
      <c r="O609" t="s">
        <v>1137</v>
      </c>
      <c r="P609" t="s">
        <v>1138</v>
      </c>
    </row>
    <row r="610" ht="15.75" customHeight="1">
      <c r="A610">
        <v>612.0</v>
      </c>
      <c r="B610">
        <v>135.0</v>
      </c>
      <c r="C610">
        <v>41.0</v>
      </c>
      <c r="D610">
        <v>3.0</v>
      </c>
      <c r="E610" t="str">
        <f t="shared" si="1"/>
        <v>2.542857143</v>
      </c>
      <c r="F610">
        <v>2.0</v>
      </c>
      <c r="G610">
        <v>7.0</v>
      </c>
      <c r="H610" t="str">
        <f t="shared" si="2"/>
        <v>14</v>
      </c>
      <c r="I610">
        <v>96.0</v>
      </c>
      <c r="J610" t="str">
        <f t="shared" si="3"/>
        <v>304.8</v>
      </c>
      <c r="K610" t="str">
        <f t="shared" si="4"/>
        <v>893.064</v>
      </c>
      <c r="L610" t="str">
        <f t="shared" si="5"/>
        <v>6.379028571</v>
      </c>
      <c r="M610" t="str">
        <f t="shared" si="6"/>
        <v>293</v>
      </c>
      <c r="N610" t="s">
        <v>187</v>
      </c>
      <c r="O610" t="s">
        <v>1139</v>
      </c>
      <c r="P610" t="s">
        <v>1140</v>
      </c>
    </row>
    <row r="611" ht="15.75" customHeight="1">
      <c r="A611">
        <v>613.0</v>
      </c>
      <c r="B611">
        <v>135.0</v>
      </c>
      <c r="C611">
        <v>41.0</v>
      </c>
      <c r="D611">
        <v>3.0</v>
      </c>
      <c r="E611" t="str">
        <f t="shared" si="1"/>
        <v>2.542857143</v>
      </c>
      <c r="F611">
        <v>2.0</v>
      </c>
      <c r="G611">
        <v>7.0</v>
      </c>
      <c r="H611" t="str">
        <f t="shared" si="2"/>
        <v>14</v>
      </c>
      <c r="I611">
        <v>96.0</v>
      </c>
      <c r="J611" t="str">
        <f t="shared" si="3"/>
        <v>304.8</v>
      </c>
      <c r="K611" t="str">
        <f t="shared" si="4"/>
        <v>893.064</v>
      </c>
      <c r="L611" t="str">
        <f t="shared" si="5"/>
        <v>6.379028571</v>
      </c>
      <c r="M611" t="str">
        <f t="shared" si="6"/>
        <v>293</v>
      </c>
      <c r="N611" t="s">
        <v>187</v>
      </c>
      <c r="O611" t="s">
        <v>1141</v>
      </c>
      <c r="P611" t="s">
        <v>1142</v>
      </c>
    </row>
    <row r="612" ht="15.75" customHeight="1">
      <c r="A612">
        <v>614.0</v>
      </c>
      <c r="B612">
        <v>25.0</v>
      </c>
      <c r="C612">
        <v>75.0</v>
      </c>
      <c r="D612">
        <v>3.0</v>
      </c>
      <c r="E612" t="str">
        <f t="shared" si="1"/>
        <v>2.7875</v>
      </c>
      <c r="F612">
        <v>13.0</v>
      </c>
      <c r="G612">
        <v>4.0</v>
      </c>
      <c r="H612" t="str">
        <f t="shared" si="2"/>
        <v>52</v>
      </c>
      <c r="I612">
        <v>98.0</v>
      </c>
      <c r="J612" t="str">
        <f t="shared" si="3"/>
        <v>311.15</v>
      </c>
      <c r="K612" t="str">
        <f t="shared" si="4"/>
        <v>1185.4815</v>
      </c>
      <c r="L612" t="str">
        <f t="shared" si="5"/>
        <v>2.279772115</v>
      </c>
      <c r="M612" t="str">
        <f t="shared" si="6"/>
        <v>381</v>
      </c>
      <c r="N612" t="s">
        <v>182</v>
      </c>
      <c r="O612" t="s">
        <v>1143</v>
      </c>
      <c r="P612" t="s">
        <v>1144</v>
      </c>
    </row>
    <row r="613" ht="15.75" customHeight="1">
      <c r="A613">
        <v>615.0</v>
      </c>
      <c r="B613">
        <v>130.0</v>
      </c>
      <c r="C613">
        <v>181.0</v>
      </c>
      <c r="D613">
        <v>4.0</v>
      </c>
      <c r="E613" t="str">
        <f t="shared" si="1"/>
        <v>5.266666667</v>
      </c>
      <c r="F613">
        <v>2.0</v>
      </c>
      <c r="G613">
        <v>3.0</v>
      </c>
      <c r="H613" t="str">
        <f t="shared" si="2"/>
        <v>6</v>
      </c>
      <c r="I613">
        <v>176.0</v>
      </c>
      <c r="J613" t="str">
        <f t="shared" si="3"/>
        <v>558.8</v>
      </c>
      <c r="K613" t="str">
        <f t="shared" si="4"/>
        <v>1592.58</v>
      </c>
      <c r="L613" t="str">
        <f t="shared" si="5"/>
        <v>26.543</v>
      </c>
      <c r="M613" t="str">
        <f t="shared" si="6"/>
        <v>285</v>
      </c>
      <c r="N613" t="s">
        <v>182</v>
      </c>
      <c r="O613" t="s">
        <v>1145</v>
      </c>
      <c r="P613" t="s">
        <v>1146</v>
      </c>
    </row>
    <row r="614" ht="15.75" customHeight="1">
      <c r="A614">
        <v>616.0</v>
      </c>
      <c r="B614">
        <v>266.0</v>
      </c>
      <c r="C614">
        <v>196.8</v>
      </c>
      <c r="D614">
        <v>3.0</v>
      </c>
      <c r="E614" t="str">
        <f t="shared" si="1"/>
        <v>3.225</v>
      </c>
      <c r="F614">
        <v>1.0</v>
      </c>
      <c r="G614">
        <v>2.0</v>
      </c>
      <c r="H614" t="str">
        <f t="shared" si="2"/>
        <v>2</v>
      </c>
      <c r="I614">
        <v>126.0</v>
      </c>
      <c r="J614" t="str">
        <f t="shared" si="3"/>
        <v>400.05</v>
      </c>
      <c r="K614" t="str">
        <f t="shared" si="4"/>
        <v>1144.143</v>
      </c>
      <c r="L614" t="str">
        <f t="shared" si="5"/>
        <v>57.20715</v>
      </c>
      <c r="M614" t="str">
        <f t="shared" si="6"/>
        <v>286</v>
      </c>
      <c r="N614" t="s">
        <v>187</v>
      </c>
      <c r="O614" t="s">
        <v>1147</v>
      </c>
      <c r="P614" t="s">
        <v>1148</v>
      </c>
    </row>
    <row r="615" ht="15.75" customHeight="1">
      <c r="A615">
        <v>617.0</v>
      </c>
      <c r="B615">
        <v>50.0</v>
      </c>
      <c r="C615">
        <v>293.0</v>
      </c>
      <c r="D615">
        <v>4.0</v>
      </c>
      <c r="E615" t="str">
        <f t="shared" si="1"/>
        <v>11.8</v>
      </c>
      <c r="F615">
        <v>3.0</v>
      </c>
      <c r="G615">
        <v>1.0</v>
      </c>
      <c r="H615" t="str">
        <f t="shared" si="2"/>
        <v>3</v>
      </c>
      <c r="I615">
        <v>96.0</v>
      </c>
      <c r="J615" t="str">
        <f t="shared" si="3"/>
        <v>304.8</v>
      </c>
      <c r="K615" t="str">
        <f t="shared" si="4"/>
        <v>545.592</v>
      </c>
      <c r="L615" t="str">
        <f t="shared" si="5"/>
        <v>18.1864</v>
      </c>
      <c r="M615" t="str">
        <f t="shared" si="6"/>
        <v>179</v>
      </c>
      <c r="N615" t="s">
        <v>187</v>
      </c>
      <c r="O615" t="s">
        <v>1149</v>
      </c>
      <c r="P615" t="s">
        <v>1150</v>
      </c>
    </row>
    <row r="616" ht="15.75" customHeight="1">
      <c r="A616">
        <v>618.0</v>
      </c>
      <c r="B616">
        <v>60.0</v>
      </c>
      <c r="C616">
        <v>84.0</v>
      </c>
      <c r="D616">
        <v>4.0</v>
      </c>
      <c r="E616" t="str">
        <f t="shared" si="1"/>
        <v>6.805</v>
      </c>
      <c r="F616">
        <v>6.0</v>
      </c>
      <c r="G616">
        <v>5.0</v>
      </c>
      <c r="H616" t="str">
        <f t="shared" si="2"/>
        <v>30</v>
      </c>
      <c r="I616">
        <v>143.0</v>
      </c>
      <c r="J616" t="str">
        <f t="shared" si="3"/>
        <v>454.025</v>
      </c>
      <c r="K616" t="str">
        <f t="shared" si="4"/>
        <v>1820.64025</v>
      </c>
      <c r="L616" t="str">
        <f t="shared" si="5"/>
        <v>6.068800833</v>
      </c>
      <c r="M616" t="str">
        <f t="shared" si="6"/>
        <v>401</v>
      </c>
      <c r="N616" t="s">
        <v>182</v>
      </c>
      <c r="O616" t="s">
        <v>1151</v>
      </c>
      <c r="P616" t="s">
        <v>1152</v>
      </c>
    </row>
    <row r="617" ht="15.75" customHeight="1">
      <c r="A617">
        <v>619.0</v>
      </c>
      <c r="B617">
        <v>51.0</v>
      </c>
      <c r="C617">
        <v>70.8</v>
      </c>
      <c r="D617">
        <v>3.0</v>
      </c>
      <c r="E617" t="str">
        <f t="shared" si="1"/>
        <v>4.870833333</v>
      </c>
      <c r="F617">
        <v>4.0</v>
      </c>
      <c r="G617">
        <v>6.0</v>
      </c>
      <c r="H617" t="str">
        <f t="shared" si="2"/>
        <v>24</v>
      </c>
      <c r="I617">
        <v>143.0</v>
      </c>
      <c r="J617" t="str">
        <f t="shared" si="3"/>
        <v>454.025</v>
      </c>
      <c r="K617" t="str">
        <f t="shared" si="4"/>
        <v>1057.87825</v>
      </c>
      <c r="L617" t="str">
        <f t="shared" si="5"/>
        <v>4.407826042</v>
      </c>
      <c r="M617" t="str">
        <f t="shared" si="6"/>
        <v>233</v>
      </c>
      <c r="N617" t="s">
        <v>182</v>
      </c>
      <c r="O617" t="s">
        <v>1153</v>
      </c>
      <c r="P617" t="s">
        <v>1154</v>
      </c>
    </row>
    <row r="618" ht="15.75" customHeight="1">
      <c r="A618">
        <v>620.0</v>
      </c>
      <c r="B618">
        <v>85.0</v>
      </c>
      <c r="C618">
        <v>107.0</v>
      </c>
      <c r="D618">
        <v>4.0</v>
      </c>
      <c r="E618" t="str">
        <f t="shared" si="1"/>
        <v>4.125</v>
      </c>
      <c r="F618">
        <v>3.0</v>
      </c>
      <c r="G618">
        <v>3.0</v>
      </c>
      <c r="H618" t="str">
        <f t="shared" si="2"/>
        <v>9</v>
      </c>
      <c r="I618">
        <v>105.0</v>
      </c>
      <c r="J618" t="str">
        <f t="shared" si="3"/>
        <v>333.375</v>
      </c>
      <c r="K618" t="str">
        <f t="shared" si="4"/>
        <v>946.785</v>
      </c>
      <c r="L618" t="str">
        <f t="shared" si="5"/>
        <v>10.51983333</v>
      </c>
      <c r="M618" t="str">
        <f t="shared" si="6"/>
        <v>284</v>
      </c>
      <c r="N618" t="s">
        <v>182</v>
      </c>
      <c r="O618" t="s">
        <v>1155</v>
      </c>
      <c r="P618" t="s">
        <v>1156</v>
      </c>
    </row>
    <row r="619" ht="15.75" customHeight="1">
      <c r="A619">
        <v>621.0</v>
      </c>
      <c r="B619">
        <v>110.0</v>
      </c>
      <c r="C619">
        <v>138.6</v>
      </c>
      <c r="D619">
        <v>4.0</v>
      </c>
      <c r="E619" t="str">
        <f t="shared" si="1"/>
        <v>4.275</v>
      </c>
      <c r="F619">
        <v>3.0</v>
      </c>
      <c r="G619">
        <v>3.0</v>
      </c>
      <c r="H619" t="str">
        <f t="shared" si="2"/>
        <v>9</v>
      </c>
      <c r="I619">
        <v>135.0</v>
      </c>
      <c r="J619" t="str">
        <f t="shared" si="3"/>
        <v>428.625</v>
      </c>
      <c r="K619" t="str">
        <f t="shared" si="4"/>
        <v>1538.76375</v>
      </c>
      <c r="L619" t="str">
        <f t="shared" si="5"/>
        <v>17.097375</v>
      </c>
      <c r="M619" t="str">
        <f t="shared" si="6"/>
        <v>359</v>
      </c>
      <c r="N619" t="s">
        <v>182</v>
      </c>
      <c r="O619" t="s">
        <v>1157</v>
      </c>
      <c r="P619" t="s">
        <v>1158</v>
      </c>
    </row>
    <row r="620" ht="15.75" customHeight="1">
      <c r="A620">
        <v>622.0</v>
      </c>
      <c r="B620">
        <v>45.0</v>
      </c>
      <c r="C620">
        <v>130.0</v>
      </c>
      <c r="D620">
        <v>3.0</v>
      </c>
      <c r="E620" t="str">
        <f t="shared" si="1"/>
        <v>3.35</v>
      </c>
      <c r="F620">
        <v>6.0</v>
      </c>
      <c r="G620">
        <v>3.0</v>
      </c>
      <c r="H620" t="str">
        <f t="shared" si="2"/>
        <v>18</v>
      </c>
      <c r="I620">
        <v>126.0</v>
      </c>
      <c r="J620" t="str">
        <f t="shared" si="3"/>
        <v>400.05</v>
      </c>
      <c r="K620" t="str">
        <f t="shared" si="4"/>
        <v>1220.1525</v>
      </c>
      <c r="L620" t="str">
        <f t="shared" si="5"/>
        <v>6.778625</v>
      </c>
      <c r="M620" t="str">
        <f t="shared" si="6"/>
        <v>305</v>
      </c>
      <c r="N620" t="s">
        <v>182</v>
      </c>
      <c r="O620" t="s">
        <v>1159</v>
      </c>
      <c r="P620" t="s">
        <v>1160</v>
      </c>
    </row>
    <row r="621" ht="15.75" customHeight="1">
      <c r="A621">
        <v>623.0</v>
      </c>
      <c r="B621">
        <v>102.0</v>
      </c>
      <c r="C621">
        <v>158.0</v>
      </c>
      <c r="D621">
        <v>4.0</v>
      </c>
      <c r="E621" t="str">
        <f t="shared" si="1"/>
        <v>3.925</v>
      </c>
      <c r="F621">
        <v>2.0</v>
      </c>
      <c r="G621">
        <v>2.0</v>
      </c>
      <c r="H621" t="str">
        <f t="shared" si="2"/>
        <v>4</v>
      </c>
      <c r="I621">
        <v>102.0</v>
      </c>
      <c r="J621" t="str">
        <f t="shared" si="3"/>
        <v>323.85</v>
      </c>
      <c r="K621" t="str">
        <f t="shared" si="4"/>
        <v>741.6165</v>
      </c>
      <c r="L621" t="str">
        <f t="shared" si="5"/>
        <v>18.5404125</v>
      </c>
      <c r="M621" t="str">
        <f t="shared" si="6"/>
        <v>229</v>
      </c>
      <c r="N621" t="s">
        <v>182</v>
      </c>
      <c r="O621" t="s">
        <v>1161</v>
      </c>
      <c r="P621" t="s">
        <v>1162</v>
      </c>
    </row>
    <row r="622" ht="15.75" customHeight="1">
      <c r="A622">
        <v>624.0</v>
      </c>
      <c r="B622">
        <v>126.0</v>
      </c>
      <c r="C622">
        <v>196.6</v>
      </c>
      <c r="D622">
        <v>5.0</v>
      </c>
      <c r="E622" t="str">
        <f t="shared" si="1"/>
        <v>3.425</v>
      </c>
      <c r="F622">
        <v>2.0</v>
      </c>
      <c r="G622">
        <v>2.0</v>
      </c>
      <c r="H622" t="str">
        <f t="shared" si="2"/>
        <v>4</v>
      </c>
      <c r="I622">
        <v>126.0</v>
      </c>
      <c r="J622" t="str">
        <f t="shared" si="3"/>
        <v>400.05</v>
      </c>
      <c r="K622" t="str">
        <f t="shared" si="4"/>
        <v>1116.1395</v>
      </c>
      <c r="L622" t="str">
        <f t="shared" si="5"/>
        <v>27.9034875</v>
      </c>
      <c r="M622" t="str">
        <f t="shared" si="6"/>
        <v>279</v>
      </c>
      <c r="N622" t="s">
        <v>182</v>
      </c>
      <c r="O622" t="s">
        <v>1163</v>
      </c>
      <c r="P622" t="s">
        <v>1164</v>
      </c>
    </row>
    <row r="623" ht="15.75" customHeight="1">
      <c r="A623">
        <v>625.0</v>
      </c>
      <c r="B623">
        <v>65.0</v>
      </c>
      <c r="C623">
        <v>130.0</v>
      </c>
      <c r="D623">
        <v>3.0</v>
      </c>
      <c r="E623" t="str">
        <f t="shared" si="1"/>
        <v>3.35</v>
      </c>
      <c r="F623">
        <v>4.0</v>
      </c>
      <c r="G623">
        <v>3.0</v>
      </c>
      <c r="H623" t="str">
        <f t="shared" si="2"/>
        <v>12</v>
      </c>
      <c r="I623">
        <v>126.0</v>
      </c>
      <c r="J623" t="str">
        <f t="shared" si="3"/>
        <v>400.05</v>
      </c>
      <c r="K623" t="str">
        <f t="shared" si="4"/>
        <v>1156.1445</v>
      </c>
      <c r="L623" t="str">
        <f t="shared" si="5"/>
        <v>9.6345375</v>
      </c>
      <c r="M623" t="str">
        <f t="shared" si="6"/>
        <v>289</v>
      </c>
      <c r="N623" t="s">
        <v>182</v>
      </c>
      <c r="O623" t="s">
        <v>1165</v>
      </c>
      <c r="P623" t="s">
        <v>1166</v>
      </c>
    </row>
    <row r="624" ht="15.75" customHeight="1">
      <c r="A624">
        <v>626.0</v>
      </c>
      <c r="B624">
        <v>35.0</v>
      </c>
      <c r="C624">
        <v>120.0</v>
      </c>
      <c r="D624">
        <v>3.0</v>
      </c>
      <c r="E624" t="str">
        <f t="shared" si="1"/>
        <v>7</v>
      </c>
      <c r="F624">
        <v>8.0</v>
      </c>
      <c r="G624">
        <v>3.0</v>
      </c>
      <c r="H624" t="str">
        <f t="shared" si="2"/>
        <v>24</v>
      </c>
      <c r="I624">
        <v>120.0</v>
      </c>
      <c r="J624" t="str">
        <f t="shared" si="3"/>
        <v>381</v>
      </c>
      <c r="K624" t="str">
        <f t="shared" si="4"/>
        <v>1223.01</v>
      </c>
      <c r="L624" t="str">
        <f t="shared" si="5"/>
        <v>5.095875</v>
      </c>
      <c r="M624" t="str">
        <f t="shared" si="6"/>
        <v>321</v>
      </c>
      <c r="N624" t="s">
        <v>182</v>
      </c>
      <c r="O624" t="s">
        <v>1167</v>
      </c>
      <c r="P624" t="s">
        <v>1168</v>
      </c>
    </row>
    <row r="625" ht="15.75" customHeight="1">
      <c r="A625">
        <v>627.0</v>
      </c>
      <c r="B625">
        <v>55.0</v>
      </c>
      <c r="C625">
        <v>150.0</v>
      </c>
      <c r="D625">
        <v>3.0</v>
      </c>
      <c r="E625" t="str">
        <f t="shared" si="1"/>
        <v>5.575</v>
      </c>
      <c r="F625">
        <v>6.0</v>
      </c>
      <c r="G625">
        <v>2.0</v>
      </c>
      <c r="H625" t="str">
        <f t="shared" si="2"/>
        <v>12</v>
      </c>
      <c r="I625">
        <v>98.0</v>
      </c>
      <c r="J625" t="str">
        <f t="shared" si="3"/>
        <v>311.15</v>
      </c>
      <c r="K625" t="str">
        <f t="shared" si="4"/>
        <v>1135.6975</v>
      </c>
      <c r="L625" t="str">
        <f t="shared" si="5"/>
        <v>9.464145833</v>
      </c>
      <c r="M625" t="str">
        <f t="shared" si="6"/>
        <v>365</v>
      </c>
      <c r="N625" t="s">
        <v>182</v>
      </c>
      <c r="O625" t="s">
        <v>1169</v>
      </c>
      <c r="P625" s="126" t="s">
        <v>1170</v>
      </c>
    </row>
    <row r="626" ht="15.75" customHeight="1">
      <c r="A626">
        <v>628.0</v>
      </c>
      <c r="B626">
        <v>145.0</v>
      </c>
      <c r="C626">
        <v>71.0</v>
      </c>
      <c r="D626">
        <v>3.0</v>
      </c>
      <c r="E626" t="str">
        <f t="shared" si="1"/>
        <v>4.670833333</v>
      </c>
      <c r="F626">
        <v>2.0</v>
      </c>
      <c r="G626">
        <v>6.0</v>
      </c>
      <c r="H626" t="str">
        <f t="shared" si="2"/>
        <v>12</v>
      </c>
      <c r="I626">
        <v>143.0</v>
      </c>
      <c r="J626" t="str">
        <f t="shared" si="3"/>
        <v>454.025</v>
      </c>
      <c r="K626" t="str">
        <f t="shared" si="4"/>
        <v>1421.09825</v>
      </c>
      <c r="L626" t="str">
        <f t="shared" si="5"/>
        <v>11.84248542</v>
      </c>
      <c r="M626" t="str">
        <f t="shared" si="6"/>
        <v>313</v>
      </c>
      <c r="N626" t="s">
        <v>182</v>
      </c>
      <c r="O626" t="s">
        <v>1171</v>
      </c>
      <c r="P626" t="s">
        <v>1172</v>
      </c>
    </row>
    <row r="627" ht="15.75" customHeight="1">
      <c r="A627">
        <v>629.0</v>
      </c>
      <c r="B627">
        <v>178.0</v>
      </c>
      <c r="C627">
        <v>100.0</v>
      </c>
      <c r="D627">
        <v>5.0</v>
      </c>
      <c r="E627" t="str">
        <f t="shared" si="1"/>
        <v>3.716666667</v>
      </c>
      <c r="F627">
        <v>2.0</v>
      </c>
      <c r="G627">
        <v>3.0</v>
      </c>
      <c r="H627" t="str">
        <f t="shared" si="2"/>
        <v>6</v>
      </c>
      <c r="I627">
        <v>98.0</v>
      </c>
      <c r="J627" t="str">
        <f t="shared" si="3"/>
        <v>311.15</v>
      </c>
      <c r="K627" t="str">
        <f t="shared" si="4"/>
        <v>1191.7045</v>
      </c>
      <c r="L627" t="str">
        <f t="shared" si="5"/>
        <v>19.86174167</v>
      </c>
      <c r="M627" t="str">
        <f t="shared" si="6"/>
        <v>383</v>
      </c>
      <c r="N627" t="s">
        <v>182</v>
      </c>
      <c r="O627" t="s">
        <v>1173</v>
      </c>
      <c r="P627" t="s">
        <v>1174</v>
      </c>
    </row>
    <row r="628" ht="15.75" customHeight="1">
      <c r="A628">
        <v>630.0</v>
      </c>
      <c r="B628">
        <v>86.0</v>
      </c>
      <c r="C628">
        <v>375.0</v>
      </c>
      <c r="D628">
        <v>4.0</v>
      </c>
      <c r="E628" t="str">
        <f t="shared" si="1"/>
        <v>6</v>
      </c>
      <c r="F628">
        <v>4.0</v>
      </c>
      <c r="G628">
        <v>1.0</v>
      </c>
      <c r="H628" t="str">
        <f t="shared" si="2"/>
        <v>4</v>
      </c>
      <c r="I628">
        <v>120.0</v>
      </c>
      <c r="J628" t="str">
        <f t="shared" si="3"/>
        <v>381</v>
      </c>
      <c r="K628" t="str">
        <f t="shared" si="4"/>
        <v>1436.37</v>
      </c>
      <c r="L628" t="str">
        <f t="shared" si="5"/>
        <v>35.90925</v>
      </c>
      <c r="M628" t="str">
        <f t="shared" si="6"/>
        <v>377</v>
      </c>
      <c r="N628" t="s">
        <v>182</v>
      </c>
      <c r="O628" t="s">
        <v>1175</v>
      </c>
      <c r="P628" t="s">
        <v>1176</v>
      </c>
    </row>
    <row r="629" ht="15.75" customHeight="1">
      <c r="A629">
        <v>631.0</v>
      </c>
      <c r="B629">
        <v>100.0</v>
      </c>
      <c r="C629">
        <v>100.0</v>
      </c>
      <c r="D629">
        <v>3.0</v>
      </c>
      <c r="E629" t="str">
        <f t="shared" si="1"/>
        <v>3.716666667</v>
      </c>
      <c r="F629">
        <v>4.0</v>
      </c>
      <c r="G629">
        <v>3.0</v>
      </c>
      <c r="H629" t="str">
        <f t="shared" si="2"/>
        <v>12</v>
      </c>
      <c r="I629">
        <v>98.0</v>
      </c>
      <c r="J629" t="str">
        <f t="shared" si="3"/>
        <v>311.15</v>
      </c>
      <c r="K629" t="str">
        <f t="shared" si="4"/>
        <v>1334.8335</v>
      </c>
      <c r="L629" t="str">
        <f t="shared" si="5"/>
        <v>11.1236125</v>
      </c>
      <c r="M629" t="str">
        <f t="shared" si="6"/>
        <v>429</v>
      </c>
      <c r="N629" t="s">
        <v>182</v>
      </c>
      <c r="O629" t="s">
        <v>1177</v>
      </c>
      <c r="P629" t="s">
        <v>1178</v>
      </c>
    </row>
    <row r="630" ht="15.75" customHeight="1">
      <c r="A630">
        <v>632.0</v>
      </c>
      <c r="B630">
        <v>22.0</v>
      </c>
      <c r="C630">
        <v>22.0</v>
      </c>
      <c r="D630">
        <v>3.0</v>
      </c>
      <c r="E630" t="str">
        <f t="shared" si="1"/>
        <v>3.4</v>
      </c>
      <c r="F630">
        <v>11.0</v>
      </c>
      <c r="G630">
        <v>12.0</v>
      </c>
      <c r="H630" t="str">
        <f t="shared" si="2"/>
        <v>132</v>
      </c>
      <c r="I630">
        <v>96.0</v>
      </c>
      <c r="J630" t="str">
        <f t="shared" si="3"/>
        <v>304.8</v>
      </c>
      <c r="K630" t="str">
        <f t="shared" si="4"/>
        <v>890.016</v>
      </c>
      <c r="L630" t="str">
        <f t="shared" si="5"/>
        <v>0.6742545455</v>
      </c>
      <c r="M630" t="str">
        <f t="shared" si="6"/>
        <v>292</v>
      </c>
      <c r="N630" t="s">
        <v>187</v>
      </c>
      <c r="O630" t="s">
        <v>1179</v>
      </c>
      <c r="P630" t="s">
        <v>1180</v>
      </c>
    </row>
    <row r="631" ht="15.75" customHeight="1">
      <c r="A631">
        <v>633.0</v>
      </c>
      <c r="B631">
        <v>50.0</v>
      </c>
      <c r="C631">
        <v>159.0</v>
      </c>
      <c r="D631">
        <v>3.0</v>
      </c>
      <c r="E631" t="str">
        <f t="shared" si="1"/>
        <v>2.925</v>
      </c>
      <c r="F631">
        <v>5.0</v>
      </c>
      <c r="G631">
        <v>2.0</v>
      </c>
      <c r="H631" t="str">
        <f t="shared" si="2"/>
        <v>10</v>
      </c>
      <c r="I631">
        <v>102.0</v>
      </c>
      <c r="J631" t="str">
        <f t="shared" si="3"/>
        <v>323.85</v>
      </c>
      <c r="K631" t="str">
        <f t="shared" si="4"/>
        <v>913.257</v>
      </c>
      <c r="L631" t="str">
        <f t="shared" si="5"/>
        <v>9.13257</v>
      </c>
      <c r="M631" t="str">
        <f t="shared" si="6"/>
        <v>282</v>
      </c>
      <c r="N631" t="s">
        <v>182</v>
      </c>
      <c r="O631" t="s">
        <v>1181</v>
      </c>
      <c r="P631" t="s">
        <v>1182</v>
      </c>
    </row>
    <row r="632" ht="15.75" customHeight="1">
      <c r="A632">
        <v>634.0</v>
      </c>
      <c r="B632">
        <v>86.0</v>
      </c>
      <c r="C632">
        <v>30.0</v>
      </c>
      <c r="D632">
        <v>3.0</v>
      </c>
      <c r="E632" t="str">
        <f t="shared" si="1"/>
        <v>3.866666667</v>
      </c>
      <c r="F632">
        <v>4.0</v>
      </c>
      <c r="G632">
        <v>9.0</v>
      </c>
      <c r="H632" t="str">
        <f t="shared" si="2"/>
        <v>36</v>
      </c>
      <c r="I632">
        <v>96.0</v>
      </c>
      <c r="J632" t="str">
        <f t="shared" si="3"/>
        <v>304.8</v>
      </c>
      <c r="K632" t="str">
        <f t="shared" si="4"/>
        <v>1136.904</v>
      </c>
      <c r="L632" t="str">
        <f t="shared" si="5"/>
        <v>3.158066667</v>
      </c>
      <c r="M632" t="str">
        <f t="shared" si="6"/>
        <v>373</v>
      </c>
      <c r="N632" t="s">
        <v>182</v>
      </c>
      <c r="O632" t="s">
        <v>1183</v>
      </c>
      <c r="P632" t="s">
        <v>1184</v>
      </c>
    </row>
    <row r="633" ht="15.75" customHeight="1">
      <c r="A633">
        <v>635.0</v>
      </c>
      <c r="B633">
        <v>115.0</v>
      </c>
      <c r="C633">
        <v>187.0</v>
      </c>
      <c r="D633">
        <v>3.0</v>
      </c>
      <c r="E633" t="str">
        <f t="shared" si="1"/>
        <v>3.5</v>
      </c>
      <c r="F633">
        <v>3.0</v>
      </c>
      <c r="G633">
        <v>2.0</v>
      </c>
      <c r="H633" t="str">
        <f t="shared" si="2"/>
        <v>6</v>
      </c>
      <c r="I633">
        <v>120.0</v>
      </c>
      <c r="J633" t="str">
        <f t="shared" si="3"/>
        <v>381</v>
      </c>
      <c r="K633" t="str">
        <f t="shared" si="4"/>
        <v>1413.51</v>
      </c>
      <c r="L633" t="str">
        <f t="shared" si="5"/>
        <v>23.5585</v>
      </c>
      <c r="M633" t="str">
        <f t="shared" si="6"/>
        <v>371</v>
      </c>
      <c r="N633" t="s">
        <v>182</v>
      </c>
      <c r="O633" t="s">
        <v>1185</v>
      </c>
      <c r="P633" t="s">
        <v>1186</v>
      </c>
    </row>
    <row r="634" ht="15.75" customHeight="1">
      <c r="A634">
        <v>636.0</v>
      </c>
      <c r="B634">
        <v>25.0</v>
      </c>
      <c r="C634">
        <v>250.0</v>
      </c>
      <c r="D634">
        <v>3.0</v>
      </c>
      <c r="E634" t="str">
        <f t="shared" si="1"/>
        <v>29.4</v>
      </c>
      <c r="F634">
        <v>10.0</v>
      </c>
      <c r="G634">
        <v>2.0</v>
      </c>
      <c r="H634" t="str">
        <f t="shared" si="2"/>
        <v>20</v>
      </c>
      <c r="I634">
        <v>176.0</v>
      </c>
      <c r="J634" t="str">
        <f t="shared" si="3"/>
        <v>558.8</v>
      </c>
      <c r="K634" t="str">
        <f t="shared" si="4"/>
        <v>1659.636</v>
      </c>
      <c r="L634" t="str">
        <f t="shared" si="5"/>
        <v>8.29818</v>
      </c>
      <c r="M634" t="str">
        <f t="shared" si="6"/>
        <v>297</v>
      </c>
      <c r="N634" t="s">
        <v>182</v>
      </c>
      <c r="O634" t="s">
        <v>1187</v>
      </c>
      <c r="P634" t="s">
        <v>1188</v>
      </c>
    </row>
    <row r="635" ht="15.75" customHeight="1">
      <c r="A635">
        <v>637.0</v>
      </c>
      <c r="B635">
        <v>148.0</v>
      </c>
      <c r="C635">
        <v>239.0</v>
      </c>
      <c r="D635">
        <v>3.0</v>
      </c>
      <c r="E635" t="str">
        <f t="shared" si="1"/>
        <v>3.8875</v>
      </c>
      <c r="F635">
        <v>2.0</v>
      </c>
      <c r="G635">
        <v>2.0</v>
      </c>
      <c r="H635" t="str">
        <f t="shared" si="2"/>
        <v>4</v>
      </c>
      <c r="I635">
        <v>153.0</v>
      </c>
      <c r="J635" t="str">
        <f t="shared" si="3"/>
        <v>485.775</v>
      </c>
      <c r="K635" t="str">
        <f t="shared" si="4"/>
        <v>1549.62225</v>
      </c>
      <c r="L635" t="str">
        <f t="shared" si="5"/>
        <v>38.74055625</v>
      </c>
      <c r="M635" t="str">
        <f t="shared" si="6"/>
        <v>319</v>
      </c>
      <c r="N635" t="s">
        <v>182</v>
      </c>
      <c r="O635" t="s">
        <v>1189</v>
      </c>
      <c r="P635" t="s">
        <v>1190</v>
      </c>
    </row>
    <row r="636" ht="15.75" customHeight="1">
      <c r="A636">
        <v>638.0</v>
      </c>
      <c r="B636">
        <v>128.0</v>
      </c>
      <c r="C636">
        <v>80.0</v>
      </c>
      <c r="D636">
        <v>7.0</v>
      </c>
      <c r="E636" t="str">
        <f t="shared" si="1"/>
        <v>3.34375</v>
      </c>
      <c r="F636">
        <v>2.0</v>
      </c>
      <c r="G636">
        <v>4.0</v>
      </c>
      <c r="H636" t="str">
        <f t="shared" si="2"/>
        <v>8</v>
      </c>
      <c r="I636">
        <v>105.0</v>
      </c>
      <c r="J636" t="str">
        <f t="shared" si="3"/>
        <v>333.375</v>
      </c>
      <c r="K636" t="str">
        <f t="shared" si="4"/>
        <v>956.78625</v>
      </c>
      <c r="L636" t="str">
        <f t="shared" si="5"/>
        <v>11.95982813</v>
      </c>
      <c r="M636" t="str">
        <f t="shared" si="6"/>
        <v>287</v>
      </c>
      <c r="N636" t="s">
        <v>182</v>
      </c>
      <c r="O636" t="s">
        <v>1191</v>
      </c>
      <c r="P636" t="s">
        <v>1192</v>
      </c>
    </row>
    <row r="637" ht="15.75" customHeight="1">
      <c r="A637">
        <v>639.0</v>
      </c>
      <c r="B637">
        <v>53.0</v>
      </c>
      <c r="C637">
        <v>48.0</v>
      </c>
      <c r="D637">
        <v>8.0</v>
      </c>
      <c r="E637" t="str">
        <f t="shared" si="1"/>
        <v>2.8</v>
      </c>
      <c r="F637">
        <v>5.0</v>
      </c>
      <c r="G637">
        <v>6.0</v>
      </c>
      <c r="H637" t="str">
        <f t="shared" si="2"/>
        <v>30</v>
      </c>
      <c r="I637">
        <v>96.0</v>
      </c>
      <c r="J637" t="str">
        <f t="shared" si="3"/>
        <v>304.8</v>
      </c>
      <c r="K637" t="str">
        <f t="shared" si="4"/>
        <v>981.456</v>
      </c>
      <c r="L637" t="str">
        <f t="shared" si="5"/>
        <v>3.27152</v>
      </c>
      <c r="M637" t="str">
        <f t="shared" si="6"/>
        <v>322</v>
      </c>
      <c r="N637" t="s">
        <v>182</v>
      </c>
      <c r="O637" t="s">
        <v>1193</v>
      </c>
      <c r="P637" t="s">
        <v>1194</v>
      </c>
    </row>
    <row r="638" ht="15.75" customHeight="1">
      <c r="A638">
        <v>640.0</v>
      </c>
      <c r="B638">
        <v>130.9</v>
      </c>
      <c r="C638">
        <v>112.0</v>
      </c>
      <c r="D638">
        <v>5.0</v>
      </c>
      <c r="E638" t="str">
        <f t="shared" si="1"/>
        <v>5.475</v>
      </c>
      <c r="F638">
        <v>2.0</v>
      </c>
      <c r="G638">
        <v>4.0</v>
      </c>
      <c r="H638" t="str">
        <f t="shared" si="2"/>
        <v>8</v>
      </c>
      <c r="I638">
        <v>148.0</v>
      </c>
      <c r="J638" t="str">
        <f t="shared" si="3"/>
        <v>469.9</v>
      </c>
      <c r="K638" t="str">
        <f t="shared" si="4"/>
        <v>1357.0712</v>
      </c>
      <c r="L638" t="str">
        <f t="shared" si="5"/>
        <v>16.96339</v>
      </c>
      <c r="M638" t="str">
        <f t="shared" si="6"/>
        <v>288.8</v>
      </c>
      <c r="N638" t="s">
        <v>182</v>
      </c>
      <c r="O638" t="s">
        <v>1195</v>
      </c>
      <c r="P638" t="s">
        <v>1196</v>
      </c>
    </row>
    <row r="639" ht="15.75" customHeight="1">
      <c r="A639">
        <v>641.0</v>
      </c>
      <c r="B639">
        <v>35.0</v>
      </c>
      <c r="C639">
        <v>120.0</v>
      </c>
      <c r="D639">
        <v>3.0</v>
      </c>
      <c r="E639" t="str">
        <f t="shared" si="1"/>
        <v>7</v>
      </c>
      <c r="F639">
        <v>10.0</v>
      </c>
      <c r="G639">
        <v>3.0</v>
      </c>
      <c r="H639" t="str">
        <f t="shared" si="2"/>
        <v>30</v>
      </c>
      <c r="I639">
        <v>120.0</v>
      </c>
      <c r="J639" t="str">
        <f t="shared" si="3"/>
        <v>381</v>
      </c>
      <c r="K639" t="str">
        <f t="shared" si="4"/>
        <v>1512.57</v>
      </c>
      <c r="L639" t="str">
        <f t="shared" si="5"/>
        <v>5.0419</v>
      </c>
      <c r="M639" t="str">
        <f t="shared" si="6"/>
        <v>397</v>
      </c>
      <c r="N639" t="s">
        <v>182</v>
      </c>
      <c r="O639" t="s">
        <v>1197</v>
      </c>
      <c r="P639" t="s">
        <v>1198</v>
      </c>
    </row>
    <row r="640" ht="15.75" customHeight="1">
      <c r="A640">
        <v>642.0</v>
      </c>
      <c r="B640">
        <v>70.0</v>
      </c>
      <c r="C640">
        <v>30.0</v>
      </c>
      <c r="D640">
        <v>3.0</v>
      </c>
      <c r="E640" t="str">
        <f t="shared" si="1"/>
        <v>3.866666667</v>
      </c>
      <c r="F640">
        <v>4.0</v>
      </c>
      <c r="G640">
        <v>9.0</v>
      </c>
      <c r="H640" t="str">
        <f t="shared" si="2"/>
        <v>36</v>
      </c>
      <c r="I640">
        <v>96.0</v>
      </c>
      <c r="J640" t="str">
        <f t="shared" si="3"/>
        <v>304.8</v>
      </c>
      <c r="K640" t="str">
        <f t="shared" si="4"/>
        <v>941.832</v>
      </c>
      <c r="L640" t="str">
        <f t="shared" si="5"/>
        <v>2.6162</v>
      </c>
      <c r="M640" t="str">
        <f t="shared" si="6"/>
        <v>309</v>
      </c>
      <c r="N640" t="s">
        <v>182</v>
      </c>
      <c r="O640" t="s">
        <v>1199</v>
      </c>
      <c r="P640" t="s">
        <v>1200</v>
      </c>
    </row>
    <row r="641" ht="15.75" customHeight="1">
      <c r="A641">
        <v>643.0</v>
      </c>
      <c r="B641">
        <v>115.2</v>
      </c>
      <c r="C641">
        <v>57.7</v>
      </c>
      <c r="D641">
        <v>4.0</v>
      </c>
      <c r="E641" t="str">
        <f t="shared" si="1"/>
        <v>5.8</v>
      </c>
      <c r="F641">
        <v>3.0</v>
      </c>
      <c r="G641">
        <v>6.0</v>
      </c>
      <c r="H641" t="str">
        <f t="shared" si="2"/>
        <v>18</v>
      </c>
      <c r="I641">
        <v>120.0</v>
      </c>
      <c r="J641" t="str">
        <f t="shared" si="3"/>
        <v>381</v>
      </c>
      <c r="K641" t="str">
        <f t="shared" si="4"/>
        <v>1427.226</v>
      </c>
      <c r="L641" t="str">
        <f t="shared" si="5"/>
        <v>7.929033333</v>
      </c>
      <c r="M641" t="str">
        <f t="shared" si="6"/>
        <v>374.6</v>
      </c>
      <c r="N641" t="s">
        <v>187</v>
      </c>
      <c r="O641" t="s">
        <v>1201</v>
      </c>
      <c r="P641" t="s">
        <v>1202</v>
      </c>
    </row>
    <row r="642" ht="15.75" customHeight="1">
      <c r="A642">
        <v>644.0</v>
      </c>
      <c r="B642">
        <v>25.0</v>
      </c>
      <c r="C642">
        <v>180.0</v>
      </c>
      <c r="D642">
        <v>3.0</v>
      </c>
      <c r="E642" t="str">
        <f t="shared" si="1"/>
        <v>6.266666667</v>
      </c>
      <c r="F642">
        <v>9.0</v>
      </c>
      <c r="G642">
        <v>3.0</v>
      </c>
      <c r="H642" t="str">
        <f t="shared" si="2"/>
        <v>27</v>
      </c>
      <c r="I642">
        <v>176.0</v>
      </c>
      <c r="J642" t="str">
        <f t="shared" si="3"/>
        <v>558.8</v>
      </c>
      <c r="K642" t="str">
        <f t="shared" si="4"/>
        <v>1503.172</v>
      </c>
      <c r="L642" t="str">
        <f t="shared" si="5"/>
        <v>5.567303704</v>
      </c>
      <c r="M642" t="str">
        <f t="shared" si="6"/>
        <v>269</v>
      </c>
      <c r="N642" t="s">
        <v>182</v>
      </c>
      <c r="O642" t="s">
        <v>1203</v>
      </c>
      <c r="P642" t="s">
        <v>1204</v>
      </c>
    </row>
    <row r="643" ht="15.75" customHeight="1">
      <c r="A643">
        <v>645.0</v>
      </c>
      <c r="B643">
        <v>75.0</v>
      </c>
      <c r="C643">
        <v>95.0</v>
      </c>
      <c r="D643">
        <v>3.0</v>
      </c>
      <c r="E643" t="str">
        <f t="shared" si="1"/>
        <v>5.0125</v>
      </c>
      <c r="F643">
        <v>4.0</v>
      </c>
      <c r="G643">
        <v>4.0</v>
      </c>
      <c r="H643" t="str">
        <f t="shared" si="2"/>
        <v>16</v>
      </c>
      <c r="I643">
        <v>126.0</v>
      </c>
      <c r="J643" t="str">
        <f t="shared" si="3"/>
        <v>400.05</v>
      </c>
      <c r="K643" t="str">
        <f t="shared" si="4"/>
        <v>1316.1645</v>
      </c>
      <c r="L643" t="str">
        <f t="shared" si="5"/>
        <v>8.226028125</v>
      </c>
      <c r="M643" t="str">
        <f t="shared" si="6"/>
        <v>329</v>
      </c>
      <c r="N643" t="s">
        <v>182</v>
      </c>
      <c r="O643" t="s">
        <v>1205</v>
      </c>
      <c r="P643" t="s">
        <v>1206</v>
      </c>
    </row>
    <row r="644" ht="15.75" customHeight="1">
      <c r="A644">
        <v>646.0</v>
      </c>
      <c r="B644">
        <v>131.5</v>
      </c>
      <c r="C644">
        <v>104.0</v>
      </c>
      <c r="D644">
        <v>5.0</v>
      </c>
      <c r="E644" t="str">
        <f t="shared" si="1"/>
        <v>3.15625</v>
      </c>
      <c r="F644">
        <v>2.0</v>
      </c>
      <c r="G644">
        <v>4.0</v>
      </c>
      <c r="H644" t="str">
        <f t="shared" si="2"/>
        <v>8</v>
      </c>
      <c r="I644">
        <v>135.0</v>
      </c>
      <c r="J644" t="str">
        <f t="shared" si="3"/>
        <v>428.625</v>
      </c>
      <c r="K644" t="str">
        <f t="shared" si="4"/>
        <v>1243.0125</v>
      </c>
      <c r="L644" t="str">
        <f t="shared" si="5"/>
        <v>15.53765625</v>
      </c>
      <c r="M644" t="str">
        <f t="shared" si="6"/>
        <v>290</v>
      </c>
      <c r="N644" t="s">
        <v>182</v>
      </c>
      <c r="O644" t="s">
        <v>1207</v>
      </c>
      <c r="P644" t="s">
        <v>1208</v>
      </c>
    </row>
    <row r="645" ht="15.75" customHeight="1">
      <c r="A645">
        <v>647.0</v>
      </c>
      <c r="B645">
        <v>90.0</v>
      </c>
      <c r="C645">
        <v>114.0</v>
      </c>
      <c r="D645">
        <v>3.0</v>
      </c>
      <c r="E645" t="str">
        <f t="shared" si="1"/>
        <v>7.44375</v>
      </c>
      <c r="F645">
        <v>4.0</v>
      </c>
      <c r="G645">
        <v>4.0</v>
      </c>
      <c r="H645" t="str">
        <f t="shared" si="2"/>
        <v>16</v>
      </c>
      <c r="I645">
        <v>153.0</v>
      </c>
      <c r="J645" t="str">
        <f t="shared" si="3"/>
        <v>485.775</v>
      </c>
      <c r="K645" t="str">
        <f t="shared" si="4"/>
        <v>1889.66475</v>
      </c>
      <c r="L645" t="str">
        <f t="shared" si="5"/>
        <v>11.81040469</v>
      </c>
      <c r="M645" t="str">
        <f t="shared" si="6"/>
        <v>389</v>
      </c>
      <c r="N645" t="s">
        <v>182</v>
      </c>
      <c r="O645" t="s">
        <v>1209</v>
      </c>
      <c r="P645" t="s">
        <v>1210</v>
      </c>
    </row>
    <row r="646" ht="15.75" customHeight="1">
      <c r="A646">
        <v>648.0</v>
      </c>
      <c r="B646">
        <v>126.0</v>
      </c>
      <c r="C646">
        <v>40.0</v>
      </c>
      <c r="D646">
        <v>3.0</v>
      </c>
      <c r="E646" t="str">
        <f t="shared" si="1"/>
        <v>3.542857143</v>
      </c>
      <c r="F646">
        <v>2.0</v>
      </c>
      <c r="G646">
        <v>7.0</v>
      </c>
      <c r="H646" t="str">
        <f t="shared" si="2"/>
        <v>14</v>
      </c>
      <c r="I646">
        <v>96.0</v>
      </c>
      <c r="J646" t="str">
        <f t="shared" si="3"/>
        <v>304.8</v>
      </c>
      <c r="K646" t="str">
        <f t="shared" si="4"/>
        <v>838.2</v>
      </c>
      <c r="L646" t="str">
        <f t="shared" si="5"/>
        <v>5.987142857</v>
      </c>
      <c r="M646" t="str">
        <f t="shared" si="6"/>
        <v>275</v>
      </c>
      <c r="N646" t="s">
        <v>187</v>
      </c>
      <c r="O646" t="s">
        <v>1211</v>
      </c>
      <c r="P646" t="s">
        <v>1212</v>
      </c>
    </row>
    <row r="647" ht="15.75" customHeight="1">
      <c r="A647">
        <v>649.0</v>
      </c>
      <c r="B647">
        <v>37.0</v>
      </c>
      <c r="C647">
        <v>110.0</v>
      </c>
      <c r="D647">
        <v>3.0</v>
      </c>
      <c r="E647" t="str">
        <f t="shared" si="1"/>
        <v>3.50625</v>
      </c>
      <c r="F647">
        <v>9.0</v>
      </c>
      <c r="G647">
        <v>4.0</v>
      </c>
      <c r="H647" t="str">
        <f t="shared" si="2"/>
        <v>36</v>
      </c>
      <c r="I647">
        <v>143.0</v>
      </c>
      <c r="J647" t="str">
        <f t="shared" si="3"/>
        <v>454.025</v>
      </c>
      <c r="K647" t="str">
        <f t="shared" si="4"/>
        <v>1711.67425</v>
      </c>
      <c r="L647" t="str">
        <f t="shared" si="5"/>
        <v>4.754650694</v>
      </c>
      <c r="M647" t="str">
        <f t="shared" si="6"/>
        <v>377</v>
      </c>
      <c r="N647" t="s">
        <v>182</v>
      </c>
      <c r="O647" t="s">
        <v>1213</v>
      </c>
      <c r="P647" t="s">
        <v>1214</v>
      </c>
    </row>
    <row r="648" ht="15.75" customHeight="1">
      <c r="A648">
        <v>650.0</v>
      </c>
      <c r="B648">
        <v>13.0</v>
      </c>
      <c r="C648">
        <v>113.0</v>
      </c>
      <c r="D648">
        <v>3.0</v>
      </c>
      <c r="E648" t="str">
        <f t="shared" si="1"/>
        <v>4.475</v>
      </c>
      <c r="F648">
        <v>20.0</v>
      </c>
      <c r="G648">
        <v>4.0</v>
      </c>
      <c r="H648" t="str">
        <f t="shared" si="2"/>
        <v>80</v>
      </c>
      <c r="I648">
        <v>148.0</v>
      </c>
      <c r="J648" t="str">
        <f t="shared" si="3"/>
        <v>469.9</v>
      </c>
      <c r="K648" t="str">
        <f t="shared" si="4"/>
        <v>1583.563</v>
      </c>
      <c r="L648" t="str">
        <f t="shared" si="5"/>
        <v>1.97945375</v>
      </c>
      <c r="M648" t="str">
        <f t="shared" si="6"/>
        <v>337</v>
      </c>
      <c r="N648" t="s">
        <v>182</v>
      </c>
      <c r="O648" t="s">
        <v>1215</v>
      </c>
      <c r="P648" t="s">
        <v>1216</v>
      </c>
    </row>
    <row r="649" ht="15.75" customHeight="1">
      <c r="A649">
        <v>651.0</v>
      </c>
      <c r="B649">
        <v>202.0</v>
      </c>
      <c r="C649">
        <v>123.0</v>
      </c>
      <c r="D649">
        <v>5.0</v>
      </c>
      <c r="E649" t="str">
        <f t="shared" si="1"/>
        <v>4</v>
      </c>
      <c r="F649">
        <v>2.0</v>
      </c>
      <c r="G649">
        <v>3.0</v>
      </c>
      <c r="H649" t="str">
        <f t="shared" si="2"/>
        <v>6</v>
      </c>
      <c r="I649">
        <v>120.0</v>
      </c>
      <c r="J649" t="str">
        <f t="shared" si="3"/>
        <v>381</v>
      </c>
      <c r="K649" t="str">
        <f t="shared" si="4"/>
        <v>1642.11</v>
      </c>
      <c r="L649" t="str">
        <f t="shared" si="5"/>
        <v>27.3685</v>
      </c>
      <c r="M649" t="str">
        <f t="shared" si="6"/>
        <v>431</v>
      </c>
      <c r="N649" t="s">
        <v>182</v>
      </c>
      <c r="O649" t="s">
        <v>1217</v>
      </c>
      <c r="P649" t="s">
        <v>1218</v>
      </c>
    </row>
    <row r="650" ht="15.75" customHeight="1">
      <c r="A650">
        <v>652.0</v>
      </c>
      <c r="B650">
        <v>95.0</v>
      </c>
      <c r="C650">
        <v>85.0</v>
      </c>
      <c r="D650">
        <v>3.0</v>
      </c>
      <c r="E650" t="str">
        <f t="shared" si="1"/>
        <v>5.805</v>
      </c>
      <c r="F650">
        <v>4.0</v>
      </c>
      <c r="G650">
        <v>5.0</v>
      </c>
      <c r="H650" t="str">
        <f t="shared" si="2"/>
        <v>20</v>
      </c>
      <c r="I650">
        <v>143.0</v>
      </c>
      <c r="J650" t="str">
        <f t="shared" si="3"/>
        <v>454.025</v>
      </c>
      <c r="K650" t="str">
        <f t="shared" si="4"/>
        <v>1856.96225</v>
      </c>
      <c r="L650" t="str">
        <f t="shared" si="5"/>
        <v>9.28481125</v>
      </c>
      <c r="M650" t="str">
        <f t="shared" si="6"/>
        <v>409</v>
      </c>
      <c r="N650" t="s">
        <v>182</v>
      </c>
      <c r="O650" t="s">
        <v>1219</v>
      </c>
      <c r="P650" t="s">
        <v>1220</v>
      </c>
    </row>
    <row r="651" ht="15.75" customHeight="1">
      <c r="A651">
        <v>653.0</v>
      </c>
      <c r="B651">
        <v>120.0</v>
      </c>
      <c r="C651">
        <v>276.0</v>
      </c>
      <c r="D651">
        <v>3.0</v>
      </c>
      <c r="E651" t="str">
        <f t="shared" si="1"/>
        <v>3.4</v>
      </c>
      <c r="F651">
        <v>3.0</v>
      </c>
      <c r="G651">
        <v>2.0</v>
      </c>
      <c r="H651" t="str">
        <f t="shared" si="2"/>
        <v>6</v>
      </c>
      <c r="I651">
        <v>176.0</v>
      </c>
      <c r="J651" t="str">
        <f t="shared" si="3"/>
        <v>558.8</v>
      </c>
      <c r="K651" t="str">
        <f t="shared" si="4"/>
        <v>2156.968</v>
      </c>
      <c r="L651" t="str">
        <f t="shared" si="5"/>
        <v>35.94946667</v>
      </c>
      <c r="M651" t="str">
        <f t="shared" si="6"/>
        <v>386</v>
      </c>
      <c r="N651" t="s">
        <v>182</v>
      </c>
      <c r="O651" t="s">
        <v>1221</v>
      </c>
      <c r="P651" t="s">
        <v>1222</v>
      </c>
    </row>
    <row r="652" ht="15.75" customHeight="1">
      <c r="A652">
        <v>654.0</v>
      </c>
      <c r="B652">
        <v>180.0</v>
      </c>
      <c r="C652">
        <v>77.6</v>
      </c>
      <c r="D652">
        <v>3.0</v>
      </c>
      <c r="E652" t="str">
        <f t="shared" si="1"/>
        <v>3.3625</v>
      </c>
      <c r="F652">
        <v>2.0</v>
      </c>
      <c r="G652">
        <v>4.0</v>
      </c>
      <c r="H652" t="str">
        <f t="shared" si="2"/>
        <v>8</v>
      </c>
      <c r="I652">
        <v>102.0</v>
      </c>
      <c r="J652" t="str">
        <f t="shared" si="3"/>
        <v>323.85</v>
      </c>
      <c r="K652" t="str">
        <f t="shared" si="4"/>
        <v>1240.3455</v>
      </c>
      <c r="L652" t="str">
        <f t="shared" si="5"/>
        <v>15.50431875</v>
      </c>
      <c r="M652" t="str">
        <f t="shared" si="6"/>
        <v>383</v>
      </c>
      <c r="N652" t="s">
        <v>187</v>
      </c>
      <c r="O652" t="s">
        <v>1223</v>
      </c>
      <c r="P652" t="s">
        <v>1224</v>
      </c>
    </row>
    <row r="653" ht="15.75" customHeight="1">
      <c r="A653">
        <v>655.0</v>
      </c>
      <c r="B653">
        <v>65.0</v>
      </c>
      <c r="C653">
        <v>86.0</v>
      </c>
      <c r="D653">
        <v>4.0</v>
      </c>
      <c r="E653" t="str">
        <f t="shared" si="1"/>
        <v>4.805</v>
      </c>
      <c r="F653">
        <v>6.0</v>
      </c>
      <c r="G653">
        <v>5.0</v>
      </c>
      <c r="H653" t="str">
        <f t="shared" si="2"/>
        <v>30</v>
      </c>
      <c r="I653">
        <v>143.0</v>
      </c>
      <c r="J653" t="str">
        <f t="shared" si="3"/>
        <v>454.025</v>
      </c>
      <c r="K653" t="str">
        <f t="shared" si="4"/>
        <v>1956.84775</v>
      </c>
      <c r="L653" t="str">
        <f t="shared" si="5"/>
        <v>6.522825833</v>
      </c>
      <c r="M653" t="str">
        <f t="shared" si="6"/>
        <v>431</v>
      </c>
      <c r="N653" t="s">
        <v>182</v>
      </c>
      <c r="O653" t="s">
        <v>1225</v>
      </c>
      <c r="P653" t="s">
        <v>1226</v>
      </c>
    </row>
    <row r="654" ht="15.75" customHeight="1">
      <c r="A654">
        <v>656.0</v>
      </c>
      <c r="B654">
        <v>90.5</v>
      </c>
      <c r="C654">
        <v>40.0</v>
      </c>
      <c r="D654">
        <v>3.0</v>
      </c>
      <c r="E654" t="str">
        <f t="shared" si="1"/>
        <v>3.542857143</v>
      </c>
      <c r="F654">
        <v>4.0</v>
      </c>
      <c r="G654">
        <v>7.0</v>
      </c>
      <c r="H654" t="str">
        <f t="shared" si="2"/>
        <v>28</v>
      </c>
      <c r="I654">
        <v>96.0</v>
      </c>
      <c r="J654" t="str">
        <f t="shared" si="3"/>
        <v>304.8</v>
      </c>
      <c r="K654" t="str">
        <f t="shared" si="4"/>
        <v>1191.768</v>
      </c>
      <c r="L654" t="str">
        <f t="shared" si="5"/>
        <v>4.256314286</v>
      </c>
      <c r="M654" t="str">
        <f t="shared" si="6"/>
        <v>391</v>
      </c>
      <c r="N654" t="s">
        <v>182</v>
      </c>
      <c r="O654" t="s">
        <v>1227</v>
      </c>
      <c r="P654" t="s">
        <v>1228</v>
      </c>
    </row>
    <row r="655" ht="15.75" customHeight="1">
      <c r="A655">
        <v>657.0</v>
      </c>
      <c r="B655">
        <v>68.0</v>
      </c>
      <c r="C655">
        <v>30.0</v>
      </c>
      <c r="D655">
        <v>3.0</v>
      </c>
      <c r="E655" t="str">
        <f t="shared" si="1"/>
        <v>3.866666667</v>
      </c>
      <c r="F655">
        <v>5.0</v>
      </c>
      <c r="G655">
        <v>9.0</v>
      </c>
      <c r="H655" t="str">
        <f t="shared" si="2"/>
        <v>45</v>
      </c>
      <c r="I655">
        <v>96.0</v>
      </c>
      <c r="J655" t="str">
        <f t="shared" si="3"/>
        <v>304.8</v>
      </c>
      <c r="K655" t="str">
        <f t="shared" si="4"/>
        <v>1133.856</v>
      </c>
      <c r="L655" t="str">
        <f t="shared" si="5"/>
        <v>2.51968</v>
      </c>
      <c r="M655" t="str">
        <f t="shared" si="6"/>
        <v>372</v>
      </c>
      <c r="N655" t="s">
        <v>182</v>
      </c>
      <c r="O655" t="s">
        <v>1229</v>
      </c>
      <c r="P655" t="s">
        <v>1230</v>
      </c>
    </row>
    <row r="656" ht="15.75" customHeight="1">
      <c r="A656">
        <v>658.0</v>
      </c>
      <c r="B656">
        <v>111.0</v>
      </c>
      <c r="C656">
        <v>197.0</v>
      </c>
      <c r="D656">
        <v>3.0</v>
      </c>
      <c r="E656" t="str">
        <f t="shared" si="1"/>
        <v>3.025</v>
      </c>
      <c r="F656">
        <v>3.0</v>
      </c>
      <c r="G656">
        <v>2.0</v>
      </c>
      <c r="H656" t="str">
        <f t="shared" si="2"/>
        <v>6</v>
      </c>
      <c r="I656">
        <v>126.0</v>
      </c>
      <c r="J656" t="str">
        <f t="shared" si="3"/>
        <v>400.05</v>
      </c>
      <c r="K656" t="str">
        <f t="shared" si="4"/>
        <v>1436.1795</v>
      </c>
      <c r="L656" t="str">
        <f t="shared" si="5"/>
        <v>23.936325</v>
      </c>
      <c r="M656" t="str">
        <f t="shared" si="6"/>
        <v>359</v>
      </c>
      <c r="N656" t="s">
        <v>182</v>
      </c>
      <c r="O656" t="s">
        <v>1231</v>
      </c>
      <c r="P656" t="s">
        <v>1232</v>
      </c>
    </row>
    <row r="657" ht="15.75" customHeight="1">
      <c r="A657">
        <v>659.0</v>
      </c>
      <c r="B657">
        <v>73.0</v>
      </c>
      <c r="C657">
        <v>252.0</v>
      </c>
      <c r="D657">
        <v>3.0</v>
      </c>
      <c r="E657" t="str">
        <f t="shared" si="1"/>
        <v>9.9375</v>
      </c>
      <c r="F657">
        <v>5.0</v>
      </c>
      <c r="G657">
        <v>2.0</v>
      </c>
      <c r="H657" t="str">
        <f t="shared" si="2"/>
        <v>10</v>
      </c>
      <c r="I657">
        <v>165.0</v>
      </c>
      <c r="J657" t="str">
        <f t="shared" si="3"/>
        <v>523.875</v>
      </c>
      <c r="K657" t="str">
        <f t="shared" si="4"/>
        <v>2079.78375</v>
      </c>
      <c r="L657" t="str">
        <f t="shared" si="5"/>
        <v>20.7978375</v>
      </c>
      <c r="M657" t="str">
        <f t="shared" si="6"/>
        <v>397</v>
      </c>
      <c r="N657" t="s">
        <v>182</v>
      </c>
      <c r="O657" t="s">
        <v>1233</v>
      </c>
      <c r="P657" t="s">
        <v>1234</v>
      </c>
    </row>
    <row r="658" ht="15.75" customHeight="1">
      <c r="A658">
        <v>660.0</v>
      </c>
      <c r="B658">
        <v>80.0</v>
      </c>
      <c r="C658">
        <v>466.5</v>
      </c>
      <c r="D658">
        <v>3.0</v>
      </c>
      <c r="E658" t="str">
        <f t="shared" si="1"/>
        <v>3.4</v>
      </c>
      <c r="F658">
        <v>5.0</v>
      </c>
      <c r="G658">
        <v>1.0</v>
      </c>
      <c r="H658" t="str">
        <f t="shared" si="2"/>
        <v>5</v>
      </c>
      <c r="I658">
        <v>148.0</v>
      </c>
      <c r="J658" t="str">
        <f t="shared" si="3"/>
        <v>469.9</v>
      </c>
      <c r="K658" t="str">
        <f t="shared" si="4"/>
        <v>2029.968</v>
      </c>
      <c r="L658" t="str">
        <f t="shared" si="5"/>
        <v>40.59936</v>
      </c>
      <c r="M658" t="str">
        <f t="shared" si="6"/>
        <v>432</v>
      </c>
      <c r="N658" t="s">
        <v>182</v>
      </c>
      <c r="O658" t="s">
        <v>1235</v>
      </c>
      <c r="P658" t="s">
        <v>1236</v>
      </c>
    </row>
    <row r="659" ht="15.75" customHeight="1">
      <c r="A659">
        <v>661.0</v>
      </c>
      <c r="B659">
        <v>170.0</v>
      </c>
      <c r="C659">
        <v>107.0</v>
      </c>
      <c r="D659">
        <v>3.0</v>
      </c>
      <c r="E659" t="str">
        <f t="shared" si="1"/>
        <v>4.76</v>
      </c>
      <c r="F659">
        <v>2.0</v>
      </c>
      <c r="G659">
        <v>5.0</v>
      </c>
      <c r="H659" t="str">
        <f t="shared" si="2"/>
        <v>10</v>
      </c>
      <c r="I659">
        <v>176.0</v>
      </c>
      <c r="J659" t="str">
        <f t="shared" si="3"/>
        <v>558.8</v>
      </c>
      <c r="K659" t="str">
        <f t="shared" si="4"/>
        <v>2028.444</v>
      </c>
      <c r="L659" t="str">
        <f t="shared" si="5"/>
        <v>20.28444</v>
      </c>
      <c r="M659" t="str">
        <f t="shared" si="6"/>
        <v>363</v>
      </c>
      <c r="N659" t="s">
        <v>182</v>
      </c>
      <c r="O659" t="s">
        <v>1237</v>
      </c>
      <c r="P659" t="s">
        <v>1238</v>
      </c>
    </row>
    <row r="660" ht="15.75" customHeight="1">
      <c r="A660">
        <v>662.0</v>
      </c>
      <c r="B660">
        <v>170.0</v>
      </c>
      <c r="C660">
        <v>111.0</v>
      </c>
      <c r="D660">
        <v>3.0</v>
      </c>
      <c r="E660" t="str">
        <f t="shared" si="1"/>
        <v>3.3</v>
      </c>
      <c r="F660">
        <v>2.0</v>
      </c>
      <c r="G660">
        <v>3.0</v>
      </c>
      <c r="H660" t="str">
        <f t="shared" si="2"/>
        <v>6</v>
      </c>
      <c r="I660">
        <v>108.0</v>
      </c>
      <c r="J660" t="str">
        <f t="shared" si="3"/>
        <v>342.9</v>
      </c>
      <c r="K660" t="str">
        <f t="shared" si="4"/>
        <v>1244.727</v>
      </c>
      <c r="L660" t="str">
        <f t="shared" si="5"/>
        <v>20.74545</v>
      </c>
      <c r="M660" t="str">
        <f t="shared" si="6"/>
        <v>363</v>
      </c>
      <c r="N660" t="s">
        <v>182</v>
      </c>
      <c r="O660" t="s">
        <v>1239</v>
      </c>
      <c r="P660" t="s">
        <v>1240</v>
      </c>
    </row>
    <row r="661" ht="15.75" customHeight="1">
      <c r="A661">
        <v>663.0</v>
      </c>
      <c r="B661">
        <v>150.0</v>
      </c>
      <c r="C661">
        <v>74.0</v>
      </c>
      <c r="D661">
        <v>3.0</v>
      </c>
      <c r="E661" t="str">
        <f t="shared" si="1"/>
        <v>3.7875</v>
      </c>
      <c r="F661">
        <v>2.0</v>
      </c>
      <c r="G661">
        <v>4.0</v>
      </c>
      <c r="H661" t="str">
        <f t="shared" si="2"/>
        <v>8</v>
      </c>
      <c r="I661">
        <v>98.0</v>
      </c>
      <c r="J661" t="str">
        <f t="shared" si="3"/>
        <v>311.15</v>
      </c>
      <c r="K661" t="str">
        <f t="shared" si="4"/>
        <v>1005.0145</v>
      </c>
      <c r="L661" t="str">
        <f t="shared" si="5"/>
        <v>12.56268125</v>
      </c>
      <c r="M661" t="str">
        <f t="shared" si="6"/>
        <v>323</v>
      </c>
      <c r="N661" t="s">
        <v>182</v>
      </c>
      <c r="O661" t="s">
        <v>1241</v>
      </c>
      <c r="P661" t="s">
        <v>1242</v>
      </c>
    </row>
    <row r="662" ht="15.75" customHeight="1">
      <c r="A662">
        <v>664.0</v>
      </c>
      <c r="B662">
        <v>115.0</v>
      </c>
      <c r="C662">
        <v>61.0</v>
      </c>
      <c r="D662">
        <v>3.0</v>
      </c>
      <c r="E662" t="str">
        <f t="shared" si="1"/>
        <v>3.77</v>
      </c>
      <c r="F662">
        <v>2.0</v>
      </c>
      <c r="G662">
        <v>5.0</v>
      </c>
      <c r="H662" t="str">
        <f t="shared" si="2"/>
        <v>10</v>
      </c>
      <c r="I662">
        <v>102.0</v>
      </c>
      <c r="J662" t="str">
        <f t="shared" si="3"/>
        <v>323.85</v>
      </c>
      <c r="K662" t="str">
        <f t="shared" si="4"/>
        <v>819.3405</v>
      </c>
      <c r="L662" t="str">
        <f t="shared" si="5"/>
        <v>8.193405</v>
      </c>
      <c r="M662" t="str">
        <f t="shared" si="6"/>
        <v>253</v>
      </c>
      <c r="N662" t="s">
        <v>182</v>
      </c>
      <c r="O662" t="s">
        <v>1243</v>
      </c>
      <c r="P662" t="s">
        <v>1244</v>
      </c>
    </row>
    <row r="663" ht="15.75" customHeight="1">
      <c r="A663">
        <v>665.0</v>
      </c>
      <c r="B663">
        <v>15.0</v>
      </c>
      <c r="C663">
        <v>65.0</v>
      </c>
      <c r="D663">
        <v>3.0</v>
      </c>
      <c r="E663" t="str">
        <f t="shared" si="1"/>
        <v>3.58</v>
      </c>
      <c r="F663">
        <v>10.0</v>
      </c>
      <c r="G663">
        <v>5.0</v>
      </c>
      <c r="H663" t="str">
        <f t="shared" si="2"/>
        <v>50</v>
      </c>
      <c r="I663">
        <v>108.0</v>
      </c>
      <c r="J663" t="str">
        <f t="shared" si="3"/>
        <v>342.9</v>
      </c>
      <c r="K663" t="str">
        <f t="shared" si="4"/>
        <v>675.513</v>
      </c>
      <c r="L663" t="str">
        <f t="shared" si="5"/>
        <v>1.351026</v>
      </c>
      <c r="M663" t="str">
        <f t="shared" si="6"/>
        <v>197</v>
      </c>
      <c r="N663" t="s">
        <v>182</v>
      </c>
      <c r="O663" t="s">
        <v>1245</v>
      </c>
      <c r="P663" t="s">
        <v>1246</v>
      </c>
    </row>
    <row r="664" ht="15.75" customHeight="1">
      <c r="A664">
        <v>666.0</v>
      </c>
      <c r="B664">
        <v>65.0</v>
      </c>
      <c r="C664">
        <v>257.0</v>
      </c>
      <c r="D664">
        <v>3.0</v>
      </c>
      <c r="E664" t="str">
        <f t="shared" si="1"/>
        <v>4.9375</v>
      </c>
      <c r="F664">
        <v>4.0</v>
      </c>
      <c r="G664">
        <v>2.0</v>
      </c>
      <c r="H664" t="str">
        <f t="shared" si="2"/>
        <v>8</v>
      </c>
      <c r="I664">
        <v>165.0</v>
      </c>
      <c r="J664" t="str">
        <f t="shared" si="3"/>
        <v>523.875</v>
      </c>
      <c r="K664" t="str">
        <f t="shared" si="4"/>
        <v>1513.99875</v>
      </c>
      <c r="L664" t="str">
        <f t="shared" si="5"/>
        <v>18.92498438</v>
      </c>
      <c r="M664" t="str">
        <f t="shared" si="6"/>
        <v>289</v>
      </c>
      <c r="N664" t="s">
        <v>182</v>
      </c>
      <c r="O664" t="s">
        <v>1247</v>
      </c>
      <c r="P664" t="s">
        <v>1248</v>
      </c>
    </row>
    <row r="665" ht="15.75" customHeight="1">
      <c r="A665">
        <v>667.0</v>
      </c>
      <c r="B665">
        <v>113.0</v>
      </c>
      <c r="C665">
        <v>52.0</v>
      </c>
      <c r="D665">
        <v>3.0</v>
      </c>
      <c r="E665" t="str">
        <f t="shared" si="1"/>
        <v>3.5625</v>
      </c>
      <c r="F665">
        <v>3.0</v>
      </c>
      <c r="G665">
        <v>6.0</v>
      </c>
      <c r="H665" t="str">
        <f t="shared" si="2"/>
        <v>18</v>
      </c>
      <c r="I665">
        <v>105.0</v>
      </c>
      <c r="J665" t="str">
        <f t="shared" si="3"/>
        <v>333.375</v>
      </c>
      <c r="K665" t="str">
        <f t="shared" si="4"/>
        <v>1216.81875</v>
      </c>
      <c r="L665" t="str">
        <f t="shared" si="5"/>
        <v>6.760104167</v>
      </c>
      <c r="M665" t="str">
        <f t="shared" si="6"/>
        <v>365</v>
      </c>
      <c r="N665" t="s">
        <v>182</v>
      </c>
      <c r="O665" t="s">
        <v>1249</v>
      </c>
      <c r="P665" t="s">
        <v>1250</v>
      </c>
    </row>
    <row r="666" ht="15.75" customHeight="1">
      <c r="A666">
        <v>668.0</v>
      </c>
      <c r="B666">
        <v>80.0</v>
      </c>
      <c r="C666">
        <v>260.0</v>
      </c>
      <c r="D666">
        <v>3.0</v>
      </c>
      <c r="E666" t="str">
        <f t="shared" si="1"/>
        <v>19.4</v>
      </c>
      <c r="F666">
        <v>5.0</v>
      </c>
      <c r="G666">
        <v>2.0</v>
      </c>
      <c r="H666" t="str">
        <f t="shared" si="2"/>
        <v>10</v>
      </c>
      <c r="I666">
        <v>176.0</v>
      </c>
      <c r="J666" t="str">
        <f t="shared" si="3"/>
        <v>558.8</v>
      </c>
      <c r="K666" t="str">
        <f t="shared" si="4"/>
        <v>2414.016</v>
      </c>
      <c r="L666" t="str">
        <f t="shared" si="5"/>
        <v>24.14016</v>
      </c>
      <c r="M666" t="str">
        <f t="shared" si="6"/>
        <v>432</v>
      </c>
      <c r="N666" t="s">
        <v>182</v>
      </c>
      <c r="O666" t="s">
        <v>1251</v>
      </c>
      <c r="P666" t="s">
        <v>1252</v>
      </c>
    </row>
    <row r="667" ht="15.75" customHeight="1">
      <c r="A667">
        <v>669.0</v>
      </c>
      <c r="B667">
        <v>76.0</v>
      </c>
      <c r="C667">
        <v>65.0</v>
      </c>
      <c r="D667">
        <v>5.0</v>
      </c>
      <c r="E667" t="str">
        <f t="shared" si="1"/>
        <v>3.58</v>
      </c>
      <c r="F667">
        <v>4.0</v>
      </c>
      <c r="G667">
        <v>5.0</v>
      </c>
      <c r="H667" t="str">
        <f t="shared" si="2"/>
        <v>20</v>
      </c>
      <c r="I667">
        <v>108.0</v>
      </c>
      <c r="J667" t="str">
        <f t="shared" si="3"/>
        <v>342.9</v>
      </c>
      <c r="K667" t="str">
        <f t="shared" si="4"/>
        <v>1169.289</v>
      </c>
      <c r="L667" t="str">
        <f t="shared" si="5"/>
        <v>5.846445</v>
      </c>
      <c r="M667" t="str">
        <f t="shared" si="6"/>
        <v>341</v>
      </c>
      <c r="N667" t="s">
        <v>182</v>
      </c>
      <c r="O667" t="s">
        <v>1253</v>
      </c>
      <c r="P667" t="s">
        <v>1254</v>
      </c>
    </row>
    <row r="668" ht="15.75" customHeight="1">
      <c r="A668">
        <v>670.0</v>
      </c>
      <c r="B668">
        <v>130.9</v>
      </c>
      <c r="C668">
        <v>112.0</v>
      </c>
      <c r="D668">
        <v>5.0</v>
      </c>
      <c r="E668" t="str">
        <f t="shared" si="1"/>
        <v>5.475</v>
      </c>
      <c r="F668">
        <v>2.0</v>
      </c>
      <c r="G668">
        <v>4.0</v>
      </c>
      <c r="H668" t="str">
        <f t="shared" si="2"/>
        <v>8</v>
      </c>
      <c r="I668">
        <v>148.0</v>
      </c>
      <c r="J668" t="str">
        <f t="shared" si="3"/>
        <v>469.9</v>
      </c>
      <c r="K668" t="str">
        <f t="shared" si="4"/>
        <v>1357.0712</v>
      </c>
      <c r="L668" t="str">
        <f t="shared" si="5"/>
        <v>16.96339</v>
      </c>
      <c r="M668" t="str">
        <f t="shared" si="6"/>
        <v>288.8</v>
      </c>
      <c r="N668" t="s">
        <v>182</v>
      </c>
      <c r="O668" t="s">
        <v>1255</v>
      </c>
      <c r="P668" t="s">
        <v>1256</v>
      </c>
    </row>
    <row r="669" ht="15.75" customHeight="1">
      <c r="A669">
        <v>671.0</v>
      </c>
      <c r="B669">
        <v>40.0</v>
      </c>
      <c r="C669">
        <v>168.0</v>
      </c>
      <c r="D669">
        <v>3.0</v>
      </c>
      <c r="E669" t="str">
        <f t="shared" si="1"/>
        <v>3.45</v>
      </c>
      <c r="F669">
        <v>8.0</v>
      </c>
      <c r="G669">
        <v>2.0</v>
      </c>
      <c r="H669" t="str">
        <f t="shared" si="2"/>
        <v>16</v>
      </c>
      <c r="I669">
        <v>108.0</v>
      </c>
      <c r="J669" t="str">
        <f t="shared" si="3"/>
        <v>342.9</v>
      </c>
      <c r="K669" t="str">
        <f t="shared" si="4"/>
        <v>1237.869</v>
      </c>
      <c r="L669" t="str">
        <f t="shared" si="5"/>
        <v>7.73668125</v>
      </c>
      <c r="M669" t="str">
        <f t="shared" si="6"/>
        <v>361</v>
      </c>
      <c r="N669" t="s">
        <v>182</v>
      </c>
      <c r="O669" t="s">
        <v>1257</v>
      </c>
      <c r="P669" s="126" t="s">
        <v>1258</v>
      </c>
    </row>
    <row r="670" ht="15.75" customHeight="1">
      <c r="A670">
        <v>672.0</v>
      </c>
      <c r="B670">
        <v>82.6</v>
      </c>
      <c r="C670">
        <v>43.6</v>
      </c>
      <c r="D670">
        <v>3.0</v>
      </c>
      <c r="E670" t="str">
        <f t="shared" si="1"/>
        <v>4.025</v>
      </c>
      <c r="F670">
        <v>4.0</v>
      </c>
      <c r="G670">
        <v>8.0</v>
      </c>
      <c r="H670" t="str">
        <f t="shared" si="2"/>
        <v>32</v>
      </c>
      <c r="I670">
        <v>120.0</v>
      </c>
      <c r="J670" t="str">
        <f t="shared" si="3"/>
        <v>381</v>
      </c>
      <c r="K670" t="str">
        <f t="shared" si="4"/>
        <v>1369.314</v>
      </c>
      <c r="L670" t="str">
        <f t="shared" si="5"/>
        <v>4.27910625</v>
      </c>
      <c r="M670" t="str">
        <f t="shared" si="6"/>
        <v>359.4</v>
      </c>
      <c r="N670" t="s">
        <v>182</v>
      </c>
      <c r="O670" t="s">
        <v>1259</v>
      </c>
      <c r="P670" t="s">
        <v>1260</v>
      </c>
    </row>
    <row r="671" ht="15.75" customHeight="1">
      <c r="A671">
        <v>673.0</v>
      </c>
      <c r="B671">
        <v>82.6</v>
      </c>
      <c r="C671">
        <v>43.6</v>
      </c>
      <c r="D671">
        <v>3.0</v>
      </c>
      <c r="E671" t="str">
        <f t="shared" si="1"/>
        <v>4.025</v>
      </c>
      <c r="F671">
        <v>4.0</v>
      </c>
      <c r="G671">
        <v>8.0</v>
      </c>
      <c r="H671" t="str">
        <f t="shared" si="2"/>
        <v>32</v>
      </c>
      <c r="I671">
        <v>120.0</v>
      </c>
      <c r="J671" t="str">
        <f t="shared" si="3"/>
        <v>381</v>
      </c>
      <c r="K671" t="str">
        <f t="shared" si="4"/>
        <v>1369.314</v>
      </c>
      <c r="L671" t="str">
        <f t="shared" si="5"/>
        <v>4.27910625</v>
      </c>
      <c r="M671" t="str">
        <f t="shared" si="6"/>
        <v>359.4</v>
      </c>
      <c r="N671" t="s">
        <v>182</v>
      </c>
      <c r="O671" t="s">
        <v>1261</v>
      </c>
      <c r="P671" t="s">
        <v>1262</v>
      </c>
    </row>
    <row r="672" ht="15.75" customHeight="1">
      <c r="A672">
        <v>674.0</v>
      </c>
      <c r="B672">
        <v>56.0</v>
      </c>
      <c r="C672">
        <v>68.0</v>
      </c>
      <c r="D672">
        <v>4.0</v>
      </c>
      <c r="E672" t="str">
        <f t="shared" si="1"/>
        <v>3.4375</v>
      </c>
      <c r="F672">
        <v>6.0</v>
      </c>
      <c r="G672">
        <v>6.0</v>
      </c>
      <c r="H672" t="str">
        <f t="shared" si="2"/>
        <v>36</v>
      </c>
      <c r="I672">
        <v>135.0</v>
      </c>
      <c r="J672" t="str">
        <f t="shared" si="3"/>
        <v>428.625</v>
      </c>
      <c r="K672" t="str">
        <f t="shared" si="4"/>
        <v>1615.91625</v>
      </c>
      <c r="L672" t="str">
        <f t="shared" si="5"/>
        <v>4.48865625</v>
      </c>
      <c r="M672" t="str">
        <f t="shared" si="6"/>
        <v>377</v>
      </c>
      <c r="N672" t="s">
        <v>182</v>
      </c>
      <c r="O672" t="s">
        <v>1263</v>
      </c>
      <c r="P672" t="s">
        <v>1264</v>
      </c>
    </row>
    <row r="673" ht="15.75" customHeight="1">
      <c r="A673">
        <v>675.0</v>
      </c>
      <c r="B673">
        <v>105.0</v>
      </c>
      <c r="C673">
        <v>105.0</v>
      </c>
      <c r="D673">
        <v>3.0</v>
      </c>
      <c r="E673" t="str">
        <f t="shared" si="1"/>
        <v>2.95</v>
      </c>
      <c r="F673">
        <v>3.0</v>
      </c>
      <c r="G673">
        <v>3.0</v>
      </c>
      <c r="H673" t="str">
        <f t="shared" si="2"/>
        <v>9</v>
      </c>
      <c r="I673">
        <v>102.0</v>
      </c>
      <c r="J673" t="str">
        <f t="shared" si="3"/>
        <v>323.85</v>
      </c>
      <c r="K673" t="str">
        <f t="shared" si="4"/>
        <v>1104.3285</v>
      </c>
      <c r="L673" t="str">
        <f t="shared" si="5"/>
        <v>12.27031667</v>
      </c>
      <c r="M673" t="str">
        <f t="shared" si="6"/>
        <v>341</v>
      </c>
      <c r="N673" t="s">
        <v>182</v>
      </c>
      <c r="O673" t="s">
        <v>1265</v>
      </c>
      <c r="P673" s="126" t="s">
        <v>1266</v>
      </c>
    </row>
    <row r="674" ht="15.75" customHeight="1">
      <c r="A674">
        <v>676.0</v>
      </c>
      <c r="B674">
        <v>161.0</v>
      </c>
      <c r="C674">
        <v>69.5</v>
      </c>
      <c r="D674">
        <v>3.0</v>
      </c>
      <c r="E674" t="str">
        <f t="shared" si="1"/>
        <v>6.7</v>
      </c>
      <c r="F674">
        <v>2.0</v>
      </c>
      <c r="G674">
        <v>4.0</v>
      </c>
      <c r="H674" t="str">
        <f t="shared" si="2"/>
        <v>8</v>
      </c>
      <c r="I674">
        <v>96.0</v>
      </c>
      <c r="J674" t="str">
        <f t="shared" si="3"/>
        <v>304.8</v>
      </c>
      <c r="K674" t="str">
        <f t="shared" si="4"/>
        <v>1051.56</v>
      </c>
      <c r="L674" t="str">
        <f t="shared" si="5"/>
        <v>13.1445</v>
      </c>
      <c r="M674" t="str">
        <f t="shared" si="6"/>
        <v>345</v>
      </c>
      <c r="N674" t="s">
        <v>187</v>
      </c>
      <c r="O674" t="s">
        <v>1267</v>
      </c>
      <c r="P674" t="s">
        <v>1268</v>
      </c>
    </row>
    <row r="675" ht="15.75" customHeight="1">
      <c r="A675">
        <v>677.0</v>
      </c>
      <c r="B675">
        <v>158.0</v>
      </c>
      <c r="C675">
        <v>67.0</v>
      </c>
      <c r="D675">
        <v>3.0</v>
      </c>
      <c r="E675" t="str">
        <f t="shared" si="1"/>
        <v>4.4375</v>
      </c>
      <c r="F675">
        <v>2.0</v>
      </c>
      <c r="G675">
        <v>6.0</v>
      </c>
      <c r="H675" t="str">
        <f t="shared" si="2"/>
        <v>12</v>
      </c>
      <c r="I675">
        <v>135.0</v>
      </c>
      <c r="J675" t="str">
        <f t="shared" si="3"/>
        <v>428.625</v>
      </c>
      <c r="K675" t="str">
        <f t="shared" si="4"/>
        <v>1453.03875</v>
      </c>
      <c r="L675" t="str">
        <f t="shared" si="5"/>
        <v>12.10865625</v>
      </c>
      <c r="M675" t="str">
        <f t="shared" si="6"/>
        <v>339</v>
      </c>
      <c r="N675" t="s">
        <v>187</v>
      </c>
      <c r="O675" t="s">
        <v>1269</v>
      </c>
      <c r="P675" t="s">
        <v>1270</v>
      </c>
    </row>
    <row r="676" ht="15.75" customHeight="1">
      <c r="A676">
        <v>678.0</v>
      </c>
      <c r="B676">
        <v>70.0</v>
      </c>
      <c r="C676">
        <v>56.0</v>
      </c>
      <c r="D676">
        <v>3.0</v>
      </c>
      <c r="E676" t="str">
        <f t="shared" si="1"/>
        <v>4.96</v>
      </c>
      <c r="F676">
        <v>4.0</v>
      </c>
      <c r="G676">
        <v>5.0</v>
      </c>
      <c r="H676" t="str">
        <f t="shared" si="2"/>
        <v>20</v>
      </c>
      <c r="I676">
        <v>96.0</v>
      </c>
      <c r="J676" t="str">
        <f t="shared" si="3"/>
        <v>304.8</v>
      </c>
      <c r="K676" t="str">
        <f t="shared" si="4"/>
        <v>941.832</v>
      </c>
      <c r="L676" t="str">
        <f t="shared" si="5"/>
        <v>4.70916</v>
      </c>
      <c r="M676" t="str">
        <f t="shared" si="6"/>
        <v>309</v>
      </c>
      <c r="N676" t="s">
        <v>187</v>
      </c>
      <c r="O676" t="s">
        <v>1271</v>
      </c>
      <c r="P676" t="s">
        <v>1272</v>
      </c>
    </row>
    <row r="677" ht="15.75" customHeight="1">
      <c r="A677">
        <v>679.0</v>
      </c>
      <c r="B677">
        <v>100.0</v>
      </c>
      <c r="C677">
        <v>72.0</v>
      </c>
      <c r="D677">
        <v>3.0</v>
      </c>
      <c r="E677" t="str">
        <f t="shared" si="1"/>
        <v>4.2</v>
      </c>
      <c r="F677">
        <v>4.0</v>
      </c>
      <c r="G677">
        <v>4.0</v>
      </c>
      <c r="H677" t="str">
        <f t="shared" si="2"/>
        <v>16</v>
      </c>
      <c r="I677">
        <v>96.0</v>
      </c>
      <c r="J677" t="str">
        <f t="shared" si="3"/>
        <v>304.8</v>
      </c>
      <c r="K677" t="str">
        <f t="shared" si="4"/>
        <v>1307.592</v>
      </c>
      <c r="L677" t="str">
        <f t="shared" si="5"/>
        <v>8.17245</v>
      </c>
      <c r="M677" t="str">
        <f t="shared" si="6"/>
        <v>429</v>
      </c>
      <c r="N677" t="s">
        <v>187</v>
      </c>
      <c r="O677" t="s">
        <v>1273</v>
      </c>
      <c r="P677" t="s">
        <v>1274</v>
      </c>
    </row>
    <row r="678" ht="15.75" customHeight="1">
      <c r="A678">
        <v>680.0</v>
      </c>
      <c r="B678">
        <v>255.0</v>
      </c>
      <c r="C678">
        <v>180.0</v>
      </c>
      <c r="D678">
        <v>3.0</v>
      </c>
      <c r="E678" t="str">
        <f t="shared" si="1"/>
        <v>6.266666667</v>
      </c>
      <c r="F678">
        <v>1.0</v>
      </c>
      <c r="G678">
        <v>3.0</v>
      </c>
      <c r="H678" t="str">
        <f t="shared" si="2"/>
        <v>3</v>
      </c>
      <c r="I678">
        <v>176.0</v>
      </c>
      <c r="J678" t="str">
        <f t="shared" si="3"/>
        <v>558.8</v>
      </c>
      <c r="K678" t="str">
        <f t="shared" si="4"/>
        <v>1536.7</v>
      </c>
      <c r="L678" t="str">
        <f t="shared" si="5"/>
        <v>51.22333333</v>
      </c>
      <c r="M678" t="str">
        <f t="shared" si="6"/>
        <v>275</v>
      </c>
      <c r="N678" t="s">
        <v>182</v>
      </c>
      <c r="O678" t="s">
        <v>1275</v>
      </c>
      <c r="P678" t="s">
        <v>1276</v>
      </c>
    </row>
    <row r="679" ht="15.75" customHeight="1">
      <c r="A679">
        <v>681.0</v>
      </c>
      <c r="B679">
        <v>251.5</v>
      </c>
      <c r="C679">
        <v>505.0</v>
      </c>
      <c r="D679">
        <v>3.0</v>
      </c>
      <c r="E679" t="str">
        <f t="shared" si="1"/>
        <v>18.875</v>
      </c>
      <c r="F679">
        <v>1.0</v>
      </c>
      <c r="G679">
        <v>1.0</v>
      </c>
      <c r="H679" t="str">
        <f t="shared" si="2"/>
        <v>1</v>
      </c>
      <c r="I679">
        <v>165.0</v>
      </c>
      <c r="J679" t="str">
        <f t="shared" si="3"/>
        <v>523.875</v>
      </c>
      <c r="K679" t="str">
        <f t="shared" si="4"/>
        <v>1422.320625</v>
      </c>
      <c r="L679" t="str">
        <f t="shared" si="5"/>
        <v>142.2320625</v>
      </c>
      <c r="M679" t="str">
        <f t="shared" si="6"/>
        <v>271.5</v>
      </c>
      <c r="N679" t="s">
        <v>182</v>
      </c>
      <c r="O679" t="s">
        <v>1277</v>
      </c>
      <c r="P679" t="s">
        <v>1278</v>
      </c>
    </row>
    <row r="680" ht="15.75" customHeight="1">
      <c r="A680">
        <v>682.0</v>
      </c>
      <c r="B680">
        <v>251.5</v>
      </c>
      <c r="C680">
        <v>505.0</v>
      </c>
      <c r="D680">
        <v>3.0</v>
      </c>
      <c r="E680" t="str">
        <f t="shared" si="1"/>
        <v>18.875</v>
      </c>
      <c r="F680">
        <v>1.0</v>
      </c>
      <c r="G680">
        <v>1.0</v>
      </c>
      <c r="H680" t="str">
        <f t="shared" si="2"/>
        <v>1</v>
      </c>
      <c r="I680">
        <v>165.0</v>
      </c>
      <c r="J680" t="str">
        <f t="shared" si="3"/>
        <v>523.875</v>
      </c>
      <c r="K680" t="str">
        <f t="shared" si="4"/>
        <v>1422.320625</v>
      </c>
      <c r="L680" t="str">
        <f t="shared" si="5"/>
        <v>142.2320625</v>
      </c>
      <c r="M680" t="str">
        <f t="shared" si="6"/>
        <v>271.5</v>
      </c>
      <c r="N680" t="s">
        <v>182</v>
      </c>
      <c r="O680" t="s">
        <v>1279</v>
      </c>
      <c r="P680" t="s">
        <v>1280</v>
      </c>
    </row>
    <row r="681" ht="15.75" customHeight="1">
      <c r="A681">
        <v>683.0</v>
      </c>
      <c r="B681">
        <v>100.0</v>
      </c>
      <c r="C681">
        <v>270.0</v>
      </c>
      <c r="D681">
        <v>3.0</v>
      </c>
      <c r="E681" t="str">
        <f t="shared" si="1"/>
        <v>9.4</v>
      </c>
      <c r="F681">
        <v>4.0</v>
      </c>
      <c r="G681">
        <v>2.0</v>
      </c>
      <c r="H681" t="str">
        <f t="shared" si="2"/>
        <v>8</v>
      </c>
      <c r="I681">
        <v>176.0</v>
      </c>
      <c r="J681" t="str">
        <f t="shared" si="3"/>
        <v>558.8</v>
      </c>
      <c r="K681" t="str">
        <f t="shared" si="4"/>
        <v>2397.252</v>
      </c>
      <c r="L681" t="str">
        <f t="shared" si="5"/>
        <v>29.96565</v>
      </c>
      <c r="M681" t="str">
        <f t="shared" si="6"/>
        <v>429</v>
      </c>
      <c r="N681" t="s">
        <v>182</v>
      </c>
      <c r="O681" t="s">
        <v>1281</v>
      </c>
      <c r="P681" t="s">
        <v>1282</v>
      </c>
    </row>
    <row r="682" ht="15.75" customHeight="1">
      <c r="A682">
        <v>684.0</v>
      </c>
      <c r="B682">
        <v>120.0</v>
      </c>
      <c r="C682">
        <v>330.0</v>
      </c>
      <c r="D682">
        <v>3.0</v>
      </c>
      <c r="E682" t="str">
        <f t="shared" si="1"/>
        <v>3.375</v>
      </c>
      <c r="F682">
        <v>3.0</v>
      </c>
      <c r="G682">
        <v>1.0</v>
      </c>
      <c r="H682" t="str">
        <f t="shared" si="2"/>
        <v>3</v>
      </c>
      <c r="I682">
        <v>105.0</v>
      </c>
      <c r="J682" t="str">
        <f t="shared" si="3"/>
        <v>333.375</v>
      </c>
      <c r="K682" t="str">
        <f t="shared" si="4"/>
        <v>1286.8275</v>
      </c>
      <c r="L682" t="str">
        <f t="shared" si="5"/>
        <v>42.89425</v>
      </c>
      <c r="M682" t="str">
        <f t="shared" si="6"/>
        <v>386</v>
      </c>
      <c r="N682" t="s">
        <v>182</v>
      </c>
      <c r="O682" t="s">
        <v>1283</v>
      </c>
      <c r="P682" t="s">
        <v>1284</v>
      </c>
    </row>
    <row r="683" ht="15.75" customHeight="1">
      <c r="A683">
        <v>685.0</v>
      </c>
      <c r="B683">
        <v>70.0</v>
      </c>
      <c r="C683">
        <v>135.0</v>
      </c>
      <c r="D683">
        <v>3.0</v>
      </c>
      <c r="E683" t="str">
        <f t="shared" si="1"/>
        <v>4.7</v>
      </c>
      <c r="F683">
        <v>4.0</v>
      </c>
      <c r="G683">
        <v>4.0</v>
      </c>
      <c r="H683" t="str">
        <f t="shared" si="2"/>
        <v>16</v>
      </c>
      <c r="I683">
        <v>176.0</v>
      </c>
      <c r="J683" t="str">
        <f t="shared" si="3"/>
        <v>558.8</v>
      </c>
      <c r="K683" t="str">
        <f t="shared" si="4"/>
        <v>1726.692</v>
      </c>
      <c r="L683" t="str">
        <f t="shared" si="5"/>
        <v>10.791825</v>
      </c>
      <c r="M683" t="str">
        <f t="shared" si="6"/>
        <v>309</v>
      </c>
      <c r="N683" t="s">
        <v>182</v>
      </c>
      <c r="O683" t="s">
        <v>1285</v>
      </c>
      <c r="P683" s="126" t="s">
        <v>1286</v>
      </c>
    </row>
    <row r="684" ht="15.75" customHeight="1">
      <c r="A684">
        <v>686.0</v>
      </c>
      <c r="B684">
        <v>101.0</v>
      </c>
      <c r="C684">
        <v>60.0</v>
      </c>
      <c r="D684">
        <v>3.0</v>
      </c>
      <c r="E684" t="str">
        <f t="shared" si="1"/>
        <v>3.5</v>
      </c>
      <c r="F684">
        <v>4.0</v>
      </c>
      <c r="G684">
        <v>6.0</v>
      </c>
      <c r="H684" t="str">
        <f t="shared" si="2"/>
        <v>24</v>
      </c>
      <c r="I684">
        <v>120.0</v>
      </c>
      <c r="J684" t="str">
        <f t="shared" si="3"/>
        <v>381</v>
      </c>
      <c r="K684" t="str">
        <f t="shared" si="4"/>
        <v>1649.73</v>
      </c>
      <c r="L684" t="str">
        <f t="shared" si="5"/>
        <v>6.873875</v>
      </c>
      <c r="M684" t="str">
        <f t="shared" si="6"/>
        <v>433</v>
      </c>
      <c r="N684" t="s">
        <v>182</v>
      </c>
      <c r="O684" t="s">
        <v>1287</v>
      </c>
      <c r="P684" t="s">
        <v>823</v>
      </c>
    </row>
    <row r="685" ht="15.75" customHeight="1">
      <c r="A685">
        <v>687.0</v>
      </c>
      <c r="B685">
        <v>160.0</v>
      </c>
      <c r="C685">
        <v>60.0</v>
      </c>
      <c r="D685">
        <v>3.0</v>
      </c>
      <c r="E685" t="str">
        <f t="shared" si="1"/>
        <v>3.5</v>
      </c>
      <c r="F685">
        <v>2.0</v>
      </c>
      <c r="G685">
        <v>6.0</v>
      </c>
      <c r="H685" t="str">
        <f t="shared" si="2"/>
        <v>12</v>
      </c>
      <c r="I685">
        <v>120.0</v>
      </c>
      <c r="J685" t="str">
        <f t="shared" si="3"/>
        <v>381</v>
      </c>
      <c r="K685" t="str">
        <f t="shared" si="4"/>
        <v>1306.83</v>
      </c>
      <c r="L685" t="str">
        <f t="shared" si="5"/>
        <v>10.89025</v>
      </c>
      <c r="M685" t="str">
        <f t="shared" si="6"/>
        <v>343</v>
      </c>
      <c r="N685" t="s">
        <v>182</v>
      </c>
      <c r="O685" t="s">
        <v>1288</v>
      </c>
      <c r="P685" t="s">
        <v>1289</v>
      </c>
    </row>
    <row r="686" ht="15.75" customHeight="1">
      <c r="A686">
        <v>688.0</v>
      </c>
      <c r="B686">
        <v>53.0</v>
      </c>
      <c r="C686">
        <v>48.0</v>
      </c>
      <c r="D686">
        <v>3.0</v>
      </c>
      <c r="E686" t="str">
        <f t="shared" si="1"/>
        <v>2.8</v>
      </c>
      <c r="F686">
        <v>5.0</v>
      </c>
      <c r="G686">
        <v>6.0</v>
      </c>
      <c r="H686" t="str">
        <f t="shared" si="2"/>
        <v>30</v>
      </c>
      <c r="I686">
        <v>96.0</v>
      </c>
      <c r="J686" t="str">
        <f t="shared" si="3"/>
        <v>304.8</v>
      </c>
      <c r="K686" t="str">
        <f t="shared" si="4"/>
        <v>905.256</v>
      </c>
      <c r="L686" t="str">
        <f t="shared" si="5"/>
        <v>3.01752</v>
      </c>
      <c r="M686" t="str">
        <f t="shared" si="6"/>
        <v>297</v>
      </c>
      <c r="N686" t="s">
        <v>182</v>
      </c>
      <c r="O686" t="s">
        <v>1290</v>
      </c>
      <c r="P686" t="s">
        <v>1291</v>
      </c>
    </row>
    <row r="687" ht="15.75" customHeight="1">
      <c r="A687">
        <v>689.0</v>
      </c>
      <c r="B687">
        <v>220.0</v>
      </c>
      <c r="C687">
        <v>120.0</v>
      </c>
      <c r="D687">
        <v>3.0</v>
      </c>
      <c r="E687" t="str">
        <f t="shared" si="1"/>
        <v>7</v>
      </c>
      <c r="F687">
        <v>1.0</v>
      </c>
      <c r="G687">
        <v>3.0</v>
      </c>
      <c r="H687" t="str">
        <f t="shared" si="2"/>
        <v>3</v>
      </c>
      <c r="I687">
        <v>120.0</v>
      </c>
      <c r="J687" t="str">
        <f t="shared" si="3"/>
        <v>381</v>
      </c>
      <c r="K687" t="str">
        <f t="shared" si="4"/>
        <v>914.4</v>
      </c>
      <c r="L687" t="str">
        <f t="shared" si="5"/>
        <v>30.48</v>
      </c>
      <c r="M687" t="str">
        <f t="shared" si="6"/>
        <v>240</v>
      </c>
      <c r="N687" t="s">
        <v>182</v>
      </c>
      <c r="O687" t="s">
        <v>1292</v>
      </c>
      <c r="P687" t="s">
        <v>1293</v>
      </c>
    </row>
    <row r="688" ht="15.75" customHeight="1">
      <c r="A688">
        <v>690.0</v>
      </c>
      <c r="B688">
        <v>22.0</v>
      </c>
      <c r="C688">
        <v>84.0</v>
      </c>
      <c r="D688">
        <v>3.0</v>
      </c>
      <c r="E688" t="str">
        <f t="shared" si="1"/>
        <v>6.805</v>
      </c>
      <c r="F688">
        <v>13.0</v>
      </c>
      <c r="G688">
        <v>5.0</v>
      </c>
      <c r="H688" t="str">
        <f t="shared" si="2"/>
        <v>65</v>
      </c>
      <c r="I688">
        <v>143.0</v>
      </c>
      <c r="J688" t="str">
        <f t="shared" si="3"/>
        <v>454.025</v>
      </c>
      <c r="K688" t="str">
        <f t="shared" si="4"/>
        <v>1552.7655</v>
      </c>
      <c r="L688" t="str">
        <f t="shared" si="5"/>
        <v>2.38887</v>
      </c>
      <c r="M688" t="str">
        <f t="shared" si="6"/>
        <v>342</v>
      </c>
      <c r="N688" t="s">
        <v>182</v>
      </c>
      <c r="O688" t="s">
        <v>1294</v>
      </c>
      <c r="P688" s="126" t="s">
        <v>1295</v>
      </c>
    </row>
    <row r="689" ht="15.75" customHeight="1">
      <c r="A689">
        <v>691.0</v>
      </c>
      <c r="B689">
        <v>95.0</v>
      </c>
      <c r="C689">
        <v>140.0</v>
      </c>
      <c r="D689">
        <v>3.0</v>
      </c>
      <c r="E689" t="str">
        <f t="shared" si="1"/>
        <v>2.875</v>
      </c>
      <c r="F689">
        <v>4.0</v>
      </c>
      <c r="G689">
        <v>3.0</v>
      </c>
      <c r="H689" t="str">
        <f t="shared" si="2"/>
        <v>12</v>
      </c>
      <c r="I689">
        <v>135.0</v>
      </c>
      <c r="J689" t="str">
        <f t="shared" si="3"/>
        <v>428.625</v>
      </c>
      <c r="K689" t="str">
        <f t="shared" si="4"/>
        <v>1753.07625</v>
      </c>
      <c r="L689" t="str">
        <f t="shared" si="5"/>
        <v>14.60896875</v>
      </c>
      <c r="M689" t="str">
        <f t="shared" si="6"/>
        <v>409</v>
      </c>
      <c r="N689" t="s">
        <v>182</v>
      </c>
      <c r="O689" t="s">
        <v>1296</v>
      </c>
      <c r="P689" t="s">
        <v>1297</v>
      </c>
    </row>
    <row r="690" ht="15.75" customHeight="1">
      <c r="A690">
        <v>692.0</v>
      </c>
      <c r="B690">
        <v>166.0</v>
      </c>
      <c r="C690">
        <v>104.0</v>
      </c>
      <c r="D690">
        <v>4.0</v>
      </c>
      <c r="E690" t="str">
        <f t="shared" si="1"/>
        <v>3.15625</v>
      </c>
      <c r="F690">
        <v>2.0</v>
      </c>
      <c r="G690">
        <v>4.0</v>
      </c>
      <c r="H690" t="str">
        <f t="shared" si="2"/>
        <v>8</v>
      </c>
      <c r="I690">
        <v>135.0</v>
      </c>
      <c r="J690" t="str">
        <f t="shared" si="3"/>
        <v>428.625</v>
      </c>
      <c r="K690" t="str">
        <f t="shared" si="4"/>
        <v>1530.19125</v>
      </c>
      <c r="L690" t="str">
        <f t="shared" si="5"/>
        <v>19.12739063</v>
      </c>
      <c r="M690" t="str">
        <f t="shared" si="6"/>
        <v>357</v>
      </c>
      <c r="N690" t="s">
        <v>182</v>
      </c>
      <c r="O690" t="s">
        <v>1298</v>
      </c>
      <c r="P690" t="s">
        <v>1299</v>
      </c>
    </row>
    <row r="691" ht="15.75" customHeight="1">
      <c r="A691">
        <v>693.0</v>
      </c>
      <c r="B691">
        <v>105.0</v>
      </c>
      <c r="C691">
        <v>34.0</v>
      </c>
      <c r="D691">
        <v>3.0</v>
      </c>
      <c r="E691" t="str">
        <f t="shared" si="1"/>
        <v>3.041666667</v>
      </c>
      <c r="F691">
        <v>3.0</v>
      </c>
      <c r="G691">
        <v>9.0</v>
      </c>
      <c r="H691" t="str">
        <f t="shared" si="2"/>
        <v>27</v>
      </c>
      <c r="I691">
        <v>105.0</v>
      </c>
      <c r="J691" t="str">
        <f t="shared" si="3"/>
        <v>333.375</v>
      </c>
      <c r="K691" t="str">
        <f t="shared" si="4"/>
        <v>1136.80875</v>
      </c>
      <c r="L691" t="str">
        <f t="shared" si="5"/>
        <v>4.210402778</v>
      </c>
      <c r="M691" t="str">
        <f t="shared" si="6"/>
        <v>341</v>
      </c>
      <c r="N691" t="s">
        <v>182</v>
      </c>
      <c r="O691" t="s">
        <v>1300</v>
      </c>
      <c r="P691" t="s">
        <v>1301</v>
      </c>
    </row>
    <row r="692" ht="15.75" customHeight="1">
      <c r="A692">
        <v>694.0</v>
      </c>
      <c r="B692">
        <v>80.6</v>
      </c>
      <c r="C692">
        <v>43.6</v>
      </c>
      <c r="D692">
        <v>5.0</v>
      </c>
      <c r="E692" t="str">
        <f t="shared" si="1"/>
        <v>4.025</v>
      </c>
      <c r="F692">
        <v>4.0</v>
      </c>
      <c r="G692">
        <v>8.0</v>
      </c>
      <c r="H692" t="str">
        <f t="shared" si="2"/>
        <v>32</v>
      </c>
      <c r="I692">
        <v>120.0</v>
      </c>
      <c r="J692" t="str">
        <f t="shared" si="3"/>
        <v>381</v>
      </c>
      <c r="K692" t="str">
        <f t="shared" si="4"/>
        <v>1369.314</v>
      </c>
      <c r="L692" t="str">
        <f t="shared" si="5"/>
        <v>4.27910625</v>
      </c>
      <c r="M692" t="str">
        <f t="shared" si="6"/>
        <v>359.4</v>
      </c>
      <c r="N692" t="s">
        <v>182</v>
      </c>
      <c r="O692" t="s">
        <v>1302</v>
      </c>
      <c r="P692" t="s">
        <v>1303</v>
      </c>
    </row>
    <row r="693" ht="15.75" customHeight="1">
      <c r="A693">
        <v>695.0</v>
      </c>
      <c r="B693">
        <v>63.0</v>
      </c>
      <c r="C693">
        <v>25.0</v>
      </c>
      <c r="D693">
        <v>3.0</v>
      </c>
      <c r="E693" t="str">
        <f t="shared" si="1"/>
        <v>2.709090909</v>
      </c>
      <c r="F693">
        <v>4.0</v>
      </c>
      <c r="G693">
        <v>11.0</v>
      </c>
      <c r="H693" t="str">
        <f t="shared" si="2"/>
        <v>44</v>
      </c>
      <c r="I693">
        <v>96.0</v>
      </c>
      <c r="J693" t="str">
        <f t="shared" si="3"/>
        <v>304.8</v>
      </c>
      <c r="K693" t="str">
        <f t="shared" si="4"/>
        <v>856.488</v>
      </c>
      <c r="L693" t="str">
        <f t="shared" si="5"/>
        <v>1.946563636</v>
      </c>
      <c r="M693" t="str">
        <f t="shared" si="6"/>
        <v>281</v>
      </c>
      <c r="N693" t="s">
        <v>182</v>
      </c>
      <c r="O693" t="s">
        <v>1304</v>
      </c>
      <c r="P693" s="126" t="s">
        <v>1305</v>
      </c>
    </row>
    <row r="694" ht="15.75" customHeight="1">
      <c r="A694">
        <v>696.0</v>
      </c>
      <c r="B694">
        <v>65.0</v>
      </c>
      <c r="C694">
        <v>160.0</v>
      </c>
      <c r="D694">
        <v>3.0</v>
      </c>
      <c r="E694" t="str">
        <f t="shared" si="1"/>
        <v>6.6875</v>
      </c>
      <c r="F694">
        <v>6.0</v>
      </c>
      <c r="G694">
        <v>2.0</v>
      </c>
      <c r="H694" t="str">
        <f t="shared" si="2"/>
        <v>12</v>
      </c>
      <c r="I694">
        <v>105.0</v>
      </c>
      <c r="J694" t="str">
        <f t="shared" si="3"/>
        <v>333.375</v>
      </c>
      <c r="K694" t="str">
        <f t="shared" si="4"/>
        <v>1416.84375</v>
      </c>
      <c r="L694" t="str">
        <f t="shared" si="5"/>
        <v>11.80703125</v>
      </c>
      <c r="M694" t="str">
        <f t="shared" si="6"/>
        <v>425</v>
      </c>
      <c r="N694" t="s">
        <v>182</v>
      </c>
      <c r="O694" t="s">
        <v>1306</v>
      </c>
      <c r="P694" s="126" t="s">
        <v>1307</v>
      </c>
    </row>
    <row r="695" ht="15.75" customHeight="1">
      <c r="A695">
        <v>697.0</v>
      </c>
      <c r="B695">
        <v>195.0</v>
      </c>
      <c r="C695">
        <v>100.0</v>
      </c>
      <c r="D695">
        <v>3.0</v>
      </c>
      <c r="E695" t="str">
        <f t="shared" si="1"/>
        <v>3.716666667</v>
      </c>
      <c r="F695">
        <v>2.0</v>
      </c>
      <c r="G695">
        <v>3.0</v>
      </c>
      <c r="H695" t="str">
        <f t="shared" si="2"/>
        <v>6</v>
      </c>
      <c r="I695">
        <v>98.0</v>
      </c>
      <c r="J695" t="str">
        <f t="shared" si="3"/>
        <v>311.15</v>
      </c>
      <c r="K695" t="str">
        <f t="shared" si="4"/>
        <v>1285.0495</v>
      </c>
      <c r="L695" t="str">
        <f t="shared" si="5"/>
        <v>21.41749167</v>
      </c>
      <c r="M695" t="str">
        <f t="shared" si="6"/>
        <v>413</v>
      </c>
      <c r="N695" t="s">
        <v>182</v>
      </c>
      <c r="O695" t="s">
        <v>1308</v>
      </c>
      <c r="P695" t="s">
        <v>1309</v>
      </c>
    </row>
    <row r="696" ht="15.75" customHeight="1">
      <c r="A696">
        <v>698.0</v>
      </c>
      <c r="B696">
        <v>150.0</v>
      </c>
      <c r="C696">
        <v>114.0</v>
      </c>
      <c r="D696">
        <v>10.0</v>
      </c>
      <c r="E696" t="str">
        <f t="shared" si="1"/>
        <v>3.475</v>
      </c>
      <c r="F696">
        <v>2.0</v>
      </c>
      <c r="G696">
        <v>4.0</v>
      </c>
      <c r="H696" t="str">
        <f t="shared" si="2"/>
        <v>8</v>
      </c>
      <c r="I696">
        <v>148.0</v>
      </c>
      <c r="J696" t="str">
        <f t="shared" si="3"/>
        <v>469.9</v>
      </c>
      <c r="K696" t="str">
        <f t="shared" si="4"/>
        <v>1583.563</v>
      </c>
      <c r="L696" t="str">
        <f t="shared" si="5"/>
        <v>19.7945375</v>
      </c>
      <c r="M696" t="str">
        <f t="shared" si="6"/>
        <v>337</v>
      </c>
      <c r="N696" t="s">
        <v>182</v>
      </c>
      <c r="O696" t="s">
        <v>1310</v>
      </c>
      <c r="P696" t="s">
        <v>1311</v>
      </c>
    </row>
    <row r="697" ht="15.75" customHeight="1">
      <c r="A697">
        <v>699.0</v>
      </c>
      <c r="B697">
        <v>45.0</v>
      </c>
      <c r="C697">
        <v>100.0</v>
      </c>
      <c r="D697">
        <v>3.0</v>
      </c>
      <c r="E697" t="str">
        <f t="shared" si="1"/>
        <v>3.716666667</v>
      </c>
      <c r="F697">
        <v>8.0</v>
      </c>
      <c r="G697">
        <v>3.0</v>
      </c>
      <c r="H697" t="str">
        <f t="shared" si="2"/>
        <v>24</v>
      </c>
      <c r="I697">
        <v>98.0</v>
      </c>
      <c r="J697" t="str">
        <f t="shared" si="3"/>
        <v>311.15</v>
      </c>
      <c r="K697" t="str">
        <f t="shared" si="4"/>
        <v>1247.7115</v>
      </c>
      <c r="L697" t="str">
        <f t="shared" si="5"/>
        <v>5.198797917</v>
      </c>
      <c r="M697" t="str">
        <f t="shared" si="6"/>
        <v>401</v>
      </c>
      <c r="N697" t="s">
        <v>182</v>
      </c>
      <c r="O697" t="s">
        <v>1312</v>
      </c>
      <c r="P697" t="s">
        <v>1313</v>
      </c>
    </row>
    <row r="698" ht="15.75" customHeight="1">
      <c r="A698">
        <v>700.0</v>
      </c>
      <c r="B698">
        <v>90.9</v>
      </c>
      <c r="C698">
        <v>257.7</v>
      </c>
      <c r="D698">
        <v>3.0</v>
      </c>
      <c r="E698" t="str">
        <f t="shared" si="1"/>
        <v>4.2375</v>
      </c>
      <c r="F698">
        <v>4.0</v>
      </c>
      <c r="G698">
        <v>2.0</v>
      </c>
      <c r="H698" t="str">
        <f t="shared" si="2"/>
        <v>8</v>
      </c>
      <c r="I698">
        <v>165.0</v>
      </c>
      <c r="J698" t="str">
        <f t="shared" si="3"/>
        <v>523.875</v>
      </c>
      <c r="K698" t="str">
        <f t="shared" si="4"/>
        <v>2056.73325</v>
      </c>
      <c r="L698" t="str">
        <f t="shared" si="5"/>
        <v>25.70916563</v>
      </c>
      <c r="M698" t="str">
        <f t="shared" si="6"/>
        <v>392.6</v>
      </c>
      <c r="N698" t="s">
        <v>182</v>
      </c>
      <c r="O698" t="s">
        <v>1314</v>
      </c>
      <c r="P698" t="s">
        <v>1315</v>
      </c>
    </row>
    <row r="699" ht="15.75" customHeight="1">
      <c r="A699">
        <v>701.0</v>
      </c>
      <c r="B699">
        <v>78.5</v>
      </c>
      <c r="C699">
        <v>49.0</v>
      </c>
      <c r="D699">
        <v>3.0</v>
      </c>
      <c r="E699" t="str">
        <f t="shared" si="1"/>
        <v>4.975</v>
      </c>
      <c r="F699">
        <v>3.0</v>
      </c>
      <c r="G699">
        <v>6.0</v>
      </c>
      <c r="H699" t="str">
        <f t="shared" si="2"/>
        <v>18</v>
      </c>
      <c r="I699">
        <v>102.0</v>
      </c>
      <c r="J699" t="str">
        <f t="shared" si="3"/>
        <v>323.85</v>
      </c>
      <c r="K699" t="str">
        <f t="shared" si="4"/>
        <v>846.86775</v>
      </c>
      <c r="L699" t="str">
        <f t="shared" si="5"/>
        <v>4.704820833</v>
      </c>
      <c r="M699" t="str">
        <f t="shared" si="6"/>
        <v>261.5</v>
      </c>
      <c r="N699" t="s">
        <v>182</v>
      </c>
      <c r="O699" t="s">
        <v>1316</v>
      </c>
      <c r="P699" t="s">
        <v>1317</v>
      </c>
    </row>
    <row r="700" ht="15.75" customHeight="1">
      <c r="A700">
        <v>702.0</v>
      </c>
      <c r="B700">
        <v>78.5</v>
      </c>
      <c r="C700">
        <v>49.0</v>
      </c>
      <c r="D700">
        <v>3.0</v>
      </c>
      <c r="E700" t="str">
        <f t="shared" si="1"/>
        <v>4.975</v>
      </c>
      <c r="F700">
        <v>3.0</v>
      </c>
      <c r="G700">
        <v>6.0</v>
      </c>
      <c r="H700" t="str">
        <f t="shared" si="2"/>
        <v>18</v>
      </c>
      <c r="I700">
        <v>102.0</v>
      </c>
      <c r="J700" t="str">
        <f t="shared" si="3"/>
        <v>323.85</v>
      </c>
      <c r="K700" t="str">
        <f t="shared" si="4"/>
        <v>846.86775</v>
      </c>
      <c r="L700" t="str">
        <f t="shared" si="5"/>
        <v>4.704820833</v>
      </c>
      <c r="M700" t="str">
        <f t="shared" si="6"/>
        <v>261.5</v>
      </c>
      <c r="N700" t="s">
        <v>182</v>
      </c>
      <c r="O700" t="s">
        <v>1318</v>
      </c>
      <c r="P700" t="s">
        <v>1319</v>
      </c>
    </row>
    <row r="701" ht="15.75" customHeight="1">
      <c r="A701">
        <v>703.0</v>
      </c>
      <c r="B701">
        <v>110.0</v>
      </c>
      <c r="C701">
        <v>169.0</v>
      </c>
      <c r="D701">
        <v>3.0</v>
      </c>
      <c r="E701" t="str">
        <f t="shared" si="1"/>
        <v>2.45</v>
      </c>
      <c r="F701">
        <v>3.0</v>
      </c>
      <c r="G701">
        <v>2.0</v>
      </c>
      <c r="H701" t="str">
        <f t="shared" si="2"/>
        <v>6</v>
      </c>
      <c r="I701">
        <v>108.0</v>
      </c>
      <c r="J701" t="str">
        <f t="shared" si="3"/>
        <v>342.9</v>
      </c>
      <c r="K701" t="str">
        <f t="shared" si="4"/>
        <v>1220.724</v>
      </c>
      <c r="L701" t="str">
        <f t="shared" si="5"/>
        <v>20.3454</v>
      </c>
      <c r="M701" t="str">
        <f t="shared" si="6"/>
        <v>356</v>
      </c>
      <c r="N701" t="s">
        <v>182</v>
      </c>
      <c r="O701" t="s">
        <v>1320</v>
      </c>
      <c r="P701" t="s">
        <v>1321</v>
      </c>
    </row>
    <row r="702" ht="15.75" customHeight="1">
      <c r="A702">
        <v>704.0</v>
      </c>
      <c r="B702">
        <v>25.0</v>
      </c>
      <c r="C702">
        <v>55.0</v>
      </c>
      <c r="D702">
        <v>3.0</v>
      </c>
      <c r="E702" t="str">
        <f t="shared" si="1"/>
        <v>5.96</v>
      </c>
      <c r="F702">
        <v>14.0</v>
      </c>
      <c r="G702">
        <v>5.0</v>
      </c>
      <c r="H702" t="str">
        <f t="shared" si="2"/>
        <v>70</v>
      </c>
      <c r="I702">
        <v>96.0</v>
      </c>
      <c r="J702" t="str">
        <f t="shared" si="3"/>
        <v>304.8</v>
      </c>
      <c r="K702" t="str">
        <f t="shared" si="4"/>
        <v>1246.632</v>
      </c>
      <c r="L702" t="str">
        <f t="shared" si="5"/>
        <v>1.780902857</v>
      </c>
      <c r="M702" t="str">
        <f t="shared" si="6"/>
        <v>409</v>
      </c>
      <c r="N702" t="s">
        <v>182</v>
      </c>
      <c r="O702" t="s">
        <v>1322</v>
      </c>
      <c r="P702" t="s">
        <v>1323</v>
      </c>
    </row>
    <row r="703" ht="15.75" customHeight="1">
      <c r="A703">
        <v>705.0</v>
      </c>
      <c r="B703">
        <v>146.0</v>
      </c>
      <c r="C703">
        <v>88.0</v>
      </c>
      <c r="D703">
        <v>5.0</v>
      </c>
      <c r="E703" t="str">
        <f t="shared" si="1"/>
        <v>7.25</v>
      </c>
      <c r="F703">
        <v>2.0</v>
      </c>
      <c r="G703">
        <v>4.0</v>
      </c>
      <c r="H703" t="str">
        <f t="shared" si="2"/>
        <v>8</v>
      </c>
      <c r="I703">
        <v>120.0</v>
      </c>
      <c r="J703" t="str">
        <f t="shared" si="3"/>
        <v>381</v>
      </c>
      <c r="K703" t="str">
        <f t="shared" si="4"/>
        <v>1215.39</v>
      </c>
      <c r="L703" t="str">
        <f t="shared" si="5"/>
        <v>15.192375</v>
      </c>
      <c r="M703" t="str">
        <f t="shared" si="6"/>
        <v>319</v>
      </c>
      <c r="N703" t="s">
        <v>182</v>
      </c>
      <c r="O703" t="s">
        <v>1324</v>
      </c>
      <c r="P703" s="126" t="s">
        <v>1325</v>
      </c>
    </row>
    <row r="704" ht="15.75" customHeight="1">
      <c r="A704">
        <v>706.0</v>
      </c>
      <c r="B704">
        <v>138.0</v>
      </c>
      <c r="C704">
        <v>87.0</v>
      </c>
      <c r="D704">
        <v>4.0</v>
      </c>
      <c r="E704" t="str">
        <f t="shared" si="1"/>
        <v>3.805</v>
      </c>
      <c r="F704">
        <v>2.0</v>
      </c>
      <c r="G704">
        <v>5.0</v>
      </c>
      <c r="H704" t="str">
        <f t="shared" si="2"/>
        <v>10</v>
      </c>
      <c r="I704">
        <v>143.0</v>
      </c>
      <c r="J704" t="str">
        <f t="shared" si="3"/>
        <v>454.025</v>
      </c>
      <c r="K704" t="str">
        <f t="shared" si="4"/>
        <v>1366.61525</v>
      </c>
      <c r="L704" t="str">
        <f t="shared" si="5"/>
        <v>13.6661525</v>
      </c>
      <c r="M704" t="str">
        <f t="shared" si="6"/>
        <v>301</v>
      </c>
      <c r="N704" t="s">
        <v>182</v>
      </c>
      <c r="O704" t="s">
        <v>1326</v>
      </c>
      <c r="P704" s="126" t="s">
        <v>1327</v>
      </c>
    </row>
    <row r="705" ht="15.75" customHeight="1">
      <c r="A705">
        <v>707.0</v>
      </c>
      <c r="B705">
        <v>128.0</v>
      </c>
      <c r="C705">
        <v>83.0</v>
      </c>
      <c r="D705">
        <v>4.0</v>
      </c>
      <c r="E705" t="str">
        <f t="shared" si="1"/>
        <v>7.805</v>
      </c>
      <c r="F705">
        <v>2.0</v>
      </c>
      <c r="G705">
        <v>5.0</v>
      </c>
      <c r="H705" t="str">
        <f t="shared" si="2"/>
        <v>10</v>
      </c>
      <c r="I705">
        <v>143.0</v>
      </c>
      <c r="J705" t="str">
        <f t="shared" si="3"/>
        <v>454.025</v>
      </c>
      <c r="K705" t="str">
        <f t="shared" si="4"/>
        <v>1275.81025</v>
      </c>
      <c r="L705" t="str">
        <f t="shared" si="5"/>
        <v>12.7581025</v>
      </c>
      <c r="M705" t="str">
        <f t="shared" si="6"/>
        <v>281</v>
      </c>
      <c r="N705" t="s">
        <v>182</v>
      </c>
      <c r="O705" t="s">
        <v>1328</v>
      </c>
      <c r="P705" s="126" t="s">
        <v>1329</v>
      </c>
    </row>
    <row r="706" ht="15.75" customHeight="1">
      <c r="A706">
        <v>708.0</v>
      </c>
      <c r="B706">
        <v>255.0</v>
      </c>
      <c r="C706">
        <v>151.0</v>
      </c>
      <c r="D706">
        <v>3.0</v>
      </c>
      <c r="E706" t="str">
        <f t="shared" si="1"/>
        <v>4.575</v>
      </c>
      <c r="F706">
        <v>1.0</v>
      </c>
      <c r="G706">
        <v>2.0</v>
      </c>
      <c r="H706" t="str">
        <f t="shared" si="2"/>
        <v>2</v>
      </c>
      <c r="I706">
        <v>98.0</v>
      </c>
      <c r="J706" t="str">
        <f t="shared" si="3"/>
        <v>311.15</v>
      </c>
      <c r="K706" t="str">
        <f t="shared" si="4"/>
        <v>855.6625</v>
      </c>
      <c r="L706" t="str">
        <f t="shared" si="5"/>
        <v>42.783125</v>
      </c>
      <c r="M706" t="str">
        <f t="shared" si="6"/>
        <v>275</v>
      </c>
      <c r="N706" t="s">
        <v>182</v>
      </c>
      <c r="O706" t="s">
        <v>1330</v>
      </c>
      <c r="P706" s="126" t="s">
        <v>1331</v>
      </c>
    </row>
    <row r="707" ht="15.75" customHeight="1">
      <c r="A707">
        <v>709.0</v>
      </c>
      <c r="B707">
        <v>255.0</v>
      </c>
      <c r="C707">
        <v>151.0</v>
      </c>
      <c r="D707">
        <v>3.0</v>
      </c>
      <c r="E707" t="str">
        <f t="shared" si="1"/>
        <v>4.575</v>
      </c>
      <c r="F707">
        <v>1.0</v>
      </c>
      <c r="G707">
        <v>2.0</v>
      </c>
      <c r="H707" t="str">
        <f t="shared" si="2"/>
        <v>2</v>
      </c>
      <c r="I707">
        <v>98.0</v>
      </c>
      <c r="J707" t="str">
        <f t="shared" si="3"/>
        <v>311.15</v>
      </c>
      <c r="K707" t="str">
        <f t="shared" si="4"/>
        <v>855.6625</v>
      </c>
      <c r="L707" t="str">
        <f t="shared" si="5"/>
        <v>42.783125</v>
      </c>
      <c r="M707" t="str">
        <f t="shared" si="6"/>
        <v>275</v>
      </c>
      <c r="N707" t="s">
        <v>182</v>
      </c>
      <c r="O707" t="s">
        <v>1332</v>
      </c>
      <c r="P707" s="126" t="s">
        <v>1333</v>
      </c>
    </row>
    <row r="708" ht="15.75" customHeight="1">
      <c r="A708">
        <v>710.0</v>
      </c>
      <c r="B708">
        <v>120.0</v>
      </c>
      <c r="C708">
        <v>105.0</v>
      </c>
      <c r="D708">
        <v>4.0</v>
      </c>
      <c r="E708" t="str">
        <f t="shared" si="1"/>
        <v>2.95</v>
      </c>
      <c r="F708">
        <v>2.0</v>
      </c>
      <c r="G708">
        <v>3.0</v>
      </c>
      <c r="H708" t="str">
        <f t="shared" si="2"/>
        <v>6</v>
      </c>
      <c r="I708">
        <v>102.0</v>
      </c>
      <c r="J708" t="str">
        <f t="shared" si="3"/>
        <v>323.85</v>
      </c>
      <c r="K708" t="str">
        <f t="shared" si="4"/>
        <v>858.2025</v>
      </c>
      <c r="L708" t="str">
        <f t="shared" si="5"/>
        <v>14.303375</v>
      </c>
      <c r="M708" t="str">
        <f t="shared" si="6"/>
        <v>265</v>
      </c>
      <c r="N708" t="s">
        <v>182</v>
      </c>
      <c r="O708" t="s">
        <v>1334</v>
      </c>
      <c r="P708" s="126" t="s">
        <v>1335</v>
      </c>
    </row>
    <row r="709" ht="15.75" customHeight="1">
      <c r="A709">
        <v>711.0</v>
      </c>
      <c r="B709">
        <v>126.0</v>
      </c>
      <c r="C709">
        <v>97.0</v>
      </c>
      <c r="D709">
        <v>4.0</v>
      </c>
      <c r="E709" t="str">
        <f t="shared" si="1"/>
        <v>3.0125</v>
      </c>
      <c r="F709">
        <v>2.0</v>
      </c>
      <c r="G709">
        <v>4.0</v>
      </c>
      <c r="H709" t="str">
        <f t="shared" si="2"/>
        <v>8</v>
      </c>
      <c r="I709">
        <v>126.0</v>
      </c>
      <c r="J709" t="str">
        <f t="shared" si="3"/>
        <v>400.05</v>
      </c>
      <c r="K709" t="str">
        <f t="shared" si="4"/>
        <v>1108.1385</v>
      </c>
      <c r="L709" t="str">
        <f t="shared" si="5"/>
        <v>13.85173125</v>
      </c>
      <c r="M709" t="str">
        <f t="shared" si="6"/>
        <v>277</v>
      </c>
      <c r="N709" t="s">
        <v>182</v>
      </c>
      <c r="O709" t="s">
        <v>1336</v>
      </c>
      <c r="P709" s="126" t="s">
        <v>1337</v>
      </c>
    </row>
    <row r="710" ht="15.75" customHeight="1">
      <c r="A710">
        <v>712.0</v>
      </c>
      <c r="B710">
        <v>83.0</v>
      </c>
      <c r="C710">
        <v>136.0</v>
      </c>
      <c r="D710">
        <v>3.0</v>
      </c>
      <c r="E710" t="str">
        <f t="shared" si="1"/>
        <v>3.7</v>
      </c>
      <c r="F710">
        <v>4.0</v>
      </c>
      <c r="G710">
        <v>4.0</v>
      </c>
      <c r="H710" t="str">
        <f t="shared" si="2"/>
        <v>16</v>
      </c>
      <c r="I710">
        <v>176.0</v>
      </c>
      <c r="J710" t="str">
        <f t="shared" si="3"/>
        <v>558.8</v>
      </c>
      <c r="K710" t="str">
        <f t="shared" si="4"/>
        <v>2017.268</v>
      </c>
      <c r="L710" t="str">
        <f t="shared" si="5"/>
        <v>12.607925</v>
      </c>
      <c r="M710" t="str">
        <f t="shared" si="6"/>
        <v>361</v>
      </c>
      <c r="N710" t="s">
        <v>182</v>
      </c>
      <c r="O710" t="s">
        <v>1338</v>
      </c>
      <c r="P710" t="s">
        <v>1339</v>
      </c>
    </row>
    <row r="711" ht="15.75" customHeight="1">
      <c r="A711">
        <v>713.0</v>
      </c>
      <c r="B711">
        <v>150.0</v>
      </c>
      <c r="C711">
        <v>95.0</v>
      </c>
      <c r="D711">
        <v>10.0</v>
      </c>
      <c r="E711" t="str">
        <f t="shared" si="1"/>
        <v>5.0125</v>
      </c>
      <c r="F711">
        <v>2.0</v>
      </c>
      <c r="G711">
        <v>4.0</v>
      </c>
      <c r="H711" t="str">
        <f t="shared" si="2"/>
        <v>8</v>
      </c>
      <c r="I711">
        <v>126.0</v>
      </c>
      <c r="J711" t="str">
        <f t="shared" si="3"/>
        <v>400.05</v>
      </c>
      <c r="K711" t="str">
        <f t="shared" si="4"/>
        <v>1348.1685</v>
      </c>
      <c r="L711" t="str">
        <f t="shared" si="5"/>
        <v>16.85210625</v>
      </c>
      <c r="M711" t="str">
        <f t="shared" si="6"/>
        <v>337</v>
      </c>
      <c r="N711" t="s">
        <v>182</v>
      </c>
      <c r="O711" t="s">
        <v>1340</v>
      </c>
      <c r="P711" t="s">
        <v>1341</v>
      </c>
    </row>
    <row r="712" ht="15.75" customHeight="1">
      <c r="A712">
        <v>714.0</v>
      </c>
      <c r="B712">
        <v>111.0</v>
      </c>
      <c r="C712">
        <v>50.0</v>
      </c>
      <c r="D712">
        <v>3.0</v>
      </c>
      <c r="E712" t="str">
        <f t="shared" si="1"/>
        <v>3.975</v>
      </c>
      <c r="F712">
        <v>2.0</v>
      </c>
      <c r="G712">
        <v>6.0</v>
      </c>
      <c r="H712" t="str">
        <f t="shared" si="2"/>
        <v>12</v>
      </c>
      <c r="I712">
        <v>102.0</v>
      </c>
      <c r="J712" t="str">
        <f t="shared" si="3"/>
        <v>323.85</v>
      </c>
      <c r="K712" t="str">
        <f t="shared" si="4"/>
        <v>793.4325</v>
      </c>
      <c r="L712" t="str">
        <f t="shared" si="5"/>
        <v>6.6119375</v>
      </c>
      <c r="M712" t="str">
        <f t="shared" si="6"/>
        <v>245</v>
      </c>
      <c r="N712" t="s">
        <v>182</v>
      </c>
      <c r="O712" t="s">
        <v>1342</v>
      </c>
      <c r="P712" t="s">
        <v>1343</v>
      </c>
    </row>
    <row r="713" ht="15.75" customHeight="1">
      <c r="A713">
        <v>715.0</v>
      </c>
      <c r="B713">
        <v>43.0</v>
      </c>
      <c r="C713">
        <v>80.0</v>
      </c>
      <c r="D713">
        <v>3.0</v>
      </c>
      <c r="E713" t="str">
        <f t="shared" si="1"/>
        <v>3.34375</v>
      </c>
      <c r="F713">
        <v>8.0</v>
      </c>
      <c r="G713">
        <v>4.0</v>
      </c>
      <c r="H713" t="str">
        <f t="shared" si="2"/>
        <v>32</v>
      </c>
      <c r="I713">
        <v>105.0</v>
      </c>
      <c r="J713" t="str">
        <f t="shared" si="3"/>
        <v>333.375</v>
      </c>
      <c r="K713" t="str">
        <f t="shared" si="4"/>
        <v>1283.49375</v>
      </c>
      <c r="L713" t="str">
        <f t="shared" si="5"/>
        <v>4.010917969</v>
      </c>
      <c r="M713" t="str">
        <f t="shared" si="6"/>
        <v>385</v>
      </c>
      <c r="N713" t="s">
        <v>187</v>
      </c>
      <c r="O713" t="s">
        <v>1344</v>
      </c>
      <c r="P713" t="s">
        <v>1345</v>
      </c>
    </row>
    <row r="714" ht="15.75" customHeight="1">
      <c r="A714">
        <v>716.0</v>
      </c>
      <c r="B714">
        <v>102.0</v>
      </c>
      <c r="C714">
        <v>102.0</v>
      </c>
      <c r="D714">
        <v>3.0</v>
      </c>
      <c r="E714" t="str">
        <f t="shared" si="1"/>
        <v>5.15625</v>
      </c>
      <c r="F714">
        <v>3.0</v>
      </c>
      <c r="G714">
        <v>4.0</v>
      </c>
      <c r="H714" t="str">
        <f t="shared" si="2"/>
        <v>12</v>
      </c>
      <c r="I714">
        <v>135.0</v>
      </c>
      <c r="J714" t="str">
        <f t="shared" si="3"/>
        <v>428.625</v>
      </c>
      <c r="K714" t="str">
        <f t="shared" si="4"/>
        <v>1423.035</v>
      </c>
      <c r="L714" t="str">
        <f t="shared" si="5"/>
        <v>11.858625</v>
      </c>
      <c r="M714" t="str">
        <f t="shared" si="6"/>
        <v>332</v>
      </c>
      <c r="N714" t="s">
        <v>182</v>
      </c>
      <c r="O714" t="s">
        <v>1346</v>
      </c>
      <c r="P714" t="s">
        <v>1347</v>
      </c>
    </row>
    <row r="715" ht="15.75" customHeight="1">
      <c r="A715">
        <v>717.0</v>
      </c>
      <c r="B715">
        <v>80.0</v>
      </c>
      <c r="C715">
        <v>170.0</v>
      </c>
      <c r="D715">
        <v>10.0</v>
      </c>
      <c r="E715" t="str">
        <f t="shared" si="1"/>
        <v>16.26666667</v>
      </c>
      <c r="F715">
        <v>4.0</v>
      </c>
      <c r="G715">
        <v>3.0</v>
      </c>
      <c r="H715" t="str">
        <f t="shared" si="2"/>
        <v>12</v>
      </c>
      <c r="I715">
        <v>176.0</v>
      </c>
      <c r="J715" t="str">
        <f t="shared" si="3"/>
        <v>558.8</v>
      </c>
      <c r="K715" t="str">
        <f t="shared" si="4"/>
        <v>2106.676</v>
      </c>
      <c r="L715" t="str">
        <f t="shared" si="5"/>
        <v>17.55563333</v>
      </c>
      <c r="M715" t="str">
        <f t="shared" si="6"/>
        <v>377</v>
      </c>
      <c r="N715" t="s">
        <v>182</v>
      </c>
      <c r="O715" t="s">
        <v>1348</v>
      </c>
      <c r="P715" t="s">
        <v>1349</v>
      </c>
    </row>
    <row r="716" ht="15.75" customHeight="1">
      <c r="A716">
        <v>718.0</v>
      </c>
      <c r="B716">
        <v>186.0</v>
      </c>
      <c r="C716">
        <v>127.0</v>
      </c>
      <c r="D716">
        <v>5.0</v>
      </c>
      <c r="E716" t="str">
        <f t="shared" si="1"/>
        <v>6.35</v>
      </c>
      <c r="F716">
        <v>2.0</v>
      </c>
      <c r="G716">
        <v>3.0</v>
      </c>
      <c r="H716" t="str">
        <f t="shared" si="2"/>
        <v>6</v>
      </c>
      <c r="I716">
        <v>126.0</v>
      </c>
      <c r="J716" t="str">
        <f t="shared" si="3"/>
        <v>400.05</v>
      </c>
      <c r="K716" t="str">
        <f t="shared" si="4"/>
        <v>1596.1995</v>
      </c>
      <c r="L716" t="str">
        <f t="shared" si="5"/>
        <v>26.603325</v>
      </c>
      <c r="M716" t="str">
        <f t="shared" si="6"/>
        <v>399</v>
      </c>
      <c r="N716" t="s">
        <v>182</v>
      </c>
      <c r="O716" t="s">
        <v>1350</v>
      </c>
      <c r="P716" s="126" t="s">
        <v>1351</v>
      </c>
    </row>
    <row r="717" ht="15.75" customHeight="1">
      <c r="A717">
        <v>719.0</v>
      </c>
      <c r="B717">
        <v>91.0</v>
      </c>
      <c r="C717">
        <v>88.0</v>
      </c>
      <c r="D717">
        <v>3.0</v>
      </c>
      <c r="E717" t="str">
        <f t="shared" si="1"/>
        <v>5.133333333</v>
      </c>
      <c r="F717">
        <v>4.0</v>
      </c>
      <c r="G717">
        <v>6.0</v>
      </c>
      <c r="H717" t="str">
        <f t="shared" si="2"/>
        <v>24</v>
      </c>
      <c r="I717">
        <v>176.0</v>
      </c>
      <c r="J717" t="str">
        <f t="shared" si="3"/>
        <v>558.8</v>
      </c>
      <c r="K717" t="str">
        <f t="shared" si="4"/>
        <v>2196.084</v>
      </c>
      <c r="L717" t="str">
        <f t="shared" si="5"/>
        <v>9.15035</v>
      </c>
      <c r="M717" t="str">
        <f t="shared" si="6"/>
        <v>393</v>
      </c>
      <c r="N717" t="s">
        <v>182</v>
      </c>
      <c r="O717" t="s">
        <v>1352</v>
      </c>
      <c r="P717" s="126" t="s">
        <v>1353</v>
      </c>
    </row>
    <row r="718" ht="15.75" customHeight="1">
      <c r="A718">
        <v>720.0</v>
      </c>
      <c r="B718">
        <v>40.0</v>
      </c>
      <c r="C718">
        <v>60.0</v>
      </c>
      <c r="D718">
        <v>3.0</v>
      </c>
      <c r="E718" t="str">
        <f t="shared" si="1"/>
        <v>3.5</v>
      </c>
      <c r="F718">
        <v>7.0</v>
      </c>
      <c r="G718">
        <v>6.0</v>
      </c>
      <c r="H718" t="str">
        <f t="shared" si="2"/>
        <v>42</v>
      </c>
      <c r="I718">
        <v>120.0</v>
      </c>
      <c r="J718" t="str">
        <f t="shared" si="3"/>
        <v>381</v>
      </c>
      <c r="K718" t="str">
        <f t="shared" si="4"/>
        <v>1211.58</v>
      </c>
      <c r="L718" t="str">
        <f t="shared" si="5"/>
        <v>2.884714286</v>
      </c>
      <c r="M718" t="str">
        <f t="shared" si="6"/>
        <v>318</v>
      </c>
      <c r="N718" t="s">
        <v>182</v>
      </c>
      <c r="O718" t="s">
        <v>1354</v>
      </c>
      <c r="P718" t="s">
        <v>1355</v>
      </c>
    </row>
    <row r="719" ht="15.75" customHeight="1">
      <c r="A719">
        <v>721.0</v>
      </c>
      <c r="B719">
        <v>96.0</v>
      </c>
      <c r="C719">
        <v>67.0</v>
      </c>
      <c r="D719">
        <v>3.0</v>
      </c>
      <c r="E719" t="str">
        <f t="shared" si="1"/>
        <v>2.85</v>
      </c>
      <c r="F719">
        <v>4.0</v>
      </c>
      <c r="G719">
        <v>8.0</v>
      </c>
      <c r="H719" t="str">
        <f t="shared" si="2"/>
        <v>32</v>
      </c>
      <c r="I719">
        <v>176.0</v>
      </c>
      <c r="J719" t="str">
        <f t="shared" si="3"/>
        <v>558.8</v>
      </c>
      <c r="K719" t="str">
        <f t="shared" si="4"/>
        <v>2307.844</v>
      </c>
      <c r="L719" t="str">
        <f t="shared" si="5"/>
        <v>7.2120125</v>
      </c>
      <c r="M719" t="str">
        <f t="shared" si="6"/>
        <v>413</v>
      </c>
      <c r="N719" t="s">
        <v>182</v>
      </c>
      <c r="O719" t="s">
        <v>1356</v>
      </c>
      <c r="P719" t="s">
        <v>1357</v>
      </c>
    </row>
    <row r="720" ht="15.75" customHeight="1">
      <c r="A720">
        <v>722.0</v>
      </c>
      <c r="B720">
        <v>193.0</v>
      </c>
      <c r="C720">
        <v>78.0</v>
      </c>
      <c r="D720">
        <v>5.0</v>
      </c>
      <c r="E720" t="str">
        <f t="shared" si="1"/>
        <v>2.9625</v>
      </c>
      <c r="F720">
        <v>2.0</v>
      </c>
      <c r="G720">
        <v>4.0</v>
      </c>
      <c r="H720" t="str">
        <f t="shared" si="2"/>
        <v>8</v>
      </c>
      <c r="I720">
        <v>102.0</v>
      </c>
      <c r="J720" t="str">
        <f t="shared" si="3"/>
        <v>323.85</v>
      </c>
      <c r="K720" t="str">
        <f t="shared" si="4"/>
        <v>1337.5005</v>
      </c>
      <c r="L720" t="str">
        <f t="shared" si="5"/>
        <v>16.71875625</v>
      </c>
      <c r="M720" t="str">
        <f t="shared" si="6"/>
        <v>413</v>
      </c>
      <c r="N720" t="s">
        <v>182</v>
      </c>
      <c r="O720" t="s">
        <v>1358</v>
      </c>
      <c r="P720" t="s">
        <v>1359</v>
      </c>
    </row>
    <row r="721" ht="15.75" customHeight="1">
      <c r="A721">
        <v>723.0</v>
      </c>
      <c r="B721">
        <v>65.0</v>
      </c>
      <c r="C721">
        <v>80.0</v>
      </c>
      <c r="D721">
        <v>3.0</v>
      </c>
      <c r="E721" t="str">
        <f t="shared" si="1"/>
        <v>3.34375</v>
      </c>
      <c r="F721">
        <v>4.0</v>
      </c>
      <c r="G721">
        <v>4.0</v>
      </c>
      <c r="H721" t="str">
        <f t="shared" si="2"/>
        <v>16</v>
      </c>
      <c r="I721">
        <v>105.0</v>
      </c>
      <c r="J721" t="str">
        <f t="shared" si="3"/>
        <v>333.375</v>
      </c>
      <c r="K721" t="str">
        <f t="shared" si="4"/>
        <v>963.45375</v>
      </c>
      <c r="L721" t="str">
        <f t="shared" si="5"/>
        <v>6.021585938</v>
      </c>
      <c r="M721" t="str">
        <f t="shared" si="6"/>
        <v>289</v>
      </c>
      <c r="N721" t="s">
        <v>182</v>
      </c>
      <c r="O721" t="s">
        <v>1360</v>
      </c>
      <c r="P721" t="s">
        <v>1361</v>
      </c>
    </row>
    <row r="722" ht="15.75" customHeight="1">
      <c r="A722">
        <v>724.0</v>
      </c>
      <c r="B722">
        <v>317.0</v>
      </c>
      <c r="C722">
        <v>73.0</v>
      </c>
      <c r="D722">
        <v>5.0</v>
      </c>
      <c r="E722" t="str">
        <f t="shared" si="1"/>
        <v>3.2</v>
      </c>
      <c r="F722">
        <v>1.0</v>
      </c>
      <c r="G722">
        <v>4.0</v>
      </c>
      <c r="H722" t="str">
        <f t="shared" si="2"/>
        <v>4</v>
      </c>
      <c r="I722">
        <v>96.0</v>
      </c>
      <c r="J722" t="str">
        <f t="shared" si="3"/>
        <v>304.8</v>
      </c>
      <c r="K722" t="str">
        <f t="shared" si="4"/>
        <v>1033.272</v>
      </c>
      <c r="L722" t="str">
        <f t="shared" si="5"/>
        <v>25.8318</v>
      </c>
      <c r="M722" t="str">
        <f t="shared" si="6"/>
        <v>339</v>
      </c>
      <c r="N722" t="s">
        <v>182</v>
      </c>
      <c r="O722" t="s">
        <v>1362</v>
      </c>
      <c r="P722" t="s">
        <v>1363</v>
      </c>
    </row>
    <row r="723" ht="15.75" customHeight="1">
      <c r="A723">
        <v>725.0</v>
      </c>
      <c r="B723">
        <v>22.0</v>
      </c>
      <c r="C723">
        <v>22.0</v>
      </c>
      <c r="D723">
        <v>3.0</v>
      </c>
      <c r="E723" t="str">
        <f t="shared" si="1"/>
        <v>3.4</v>
      </c>
      <c r="F723">
        <v>11.0</v>
      </c>
      <c r="G723">
        <v>12.0</v>
      </c>
      <c r="H723" t="str">
        <f t="shared" si="2"/>
        <v>132</v>
      </c>
      <c r="I723">
        <v>96.0</v>
      </c>
      <c r="J723" t="str">
        <f t="shared" si="3"/>
        <v>304.8</v>
      </c>
      <c r="K723" t="str">
        <f t="shared" si="4"/>
        <v>890.016</v>
      </c>
      <c r="L723" t="str">
        <f t="shared" si="5"/>
        <v>0.6742545455</v>
      </c>
      <c r="M723" t="str">
        <f t="shared" si="6"/>
        <v>292</v>
      </c>
      <c r="N723" t="s">
        <v>182</v>
      </c>
      <c r="O723" t="s">
        <v>1364</v>
      </c>
      <c r="P723" t="s">
        <v>823</v>
      </c>
    </row>
    <row r="724" ht="15.75" customHeight="1">
      <c r="A724">
        <v>726.0</v>
      </c>
      <c r="B724">
        <v>125.0</v>
      </c>
      <c r="C724">
        <v>118.0</v>
      </c>
      <c r="D724">
        <v>3.0</v>
      </c>
      <c r="E724" t="str">
        <f t="shared" si="1"/>
        <v>3.44375</v>
      </c>
      <c r="F724">
        <v>2.0</v>
      </c>
      <c r="G724">
        <v>4.0</v>
      </c>
      <c r="H724" t="str">
        <f t="shared" si="2"/>
        <v>8</v>
      </c>
      <c r="I724">
        <v>153.0</v>
      </c>
      <c r="J724" t="str">
        <f t="shared" si="3"/>
        <v>485.775</v>
      </c>
      <c r="K724" t="str">
        <f t="shared" si="4"/>
        <v>1326.16575</v>
      </c>
      <c r="L724" t="str">
        <f t="shared" si="5"/>
        <v>16.57707188</v>
      </c>
      <c r="M724" t="str">
        <f t="shared" si="6"/>
        <v>273</v>
      </c>
      <c r="N724" t="s">
        <v>182</v>
      </c>
      <c r="O724" t="s">
        <v>1365</v>
      </c>
      <c r="P724" s="126" t="s">
        <v>1366</v>
      </c>
    </row>
    <row r="725" ht="15.75" customHeight="1">
      <c r="A725">
        <v>727.0</v>
      </c>
      <c r="B725">
        <v>44.0</v>
      </c>
      <c r="C725">
        <v>60.0</v>
      </c>
      <c r="D725">
        <v>3.0</v>
      </c>
      <c r="E725" t="str">
        <f t="shared" si="1"/>
        <v>3.5</v>
      </c>
      <c r="F725">
        <v>8.0</v>
      </c>
      <c r="G725">
        <v>6.0</v>
      </c>
      <c r="H725" t="str">
        <f t="shared" si="2"/>
        <v>48</v>
      </c>
      <c r="I725">
        <v>120.0</v>
      </c>
      <c r="J725" t="str">
        <f t="shared" si="3"/>
        <v>381</v>
      </c>
      <c r="K725" t="str">
        <f t="shared" si="4"/>
        <v>1497.33</v>
      </c>
      <c r="L725" t="str">
        <f t="shared" si="5"/>
        <v>3.1194375</v>
      </c>
      <c r="M725" t="str">
        <f t="shared" si="6"/>
        <v>393</v>
      </c>
      <c r="N725" t="s">
        <v>182</v>
      </c>
      <c r="O725" t="s">
        <v>1367</v>
      </c>
      <c r="P725" t="s">
        <v>1368</v>
      </c>
    </row>
    <row r="726" ht="15.75" customHeight="1">
      <c r="A726">
        <v>728.0</v>
      </c>
      <c r="B726">
        <v>94.0</v>
      </c>
      <c r="C726">
        <v>171.5</v>
      </c>
      <c r="D726">
        <v>3.0</v>
      </c>
      <c r="E726" t="str">
        <f t="shared" si="1"/>
        <v>3.125</v>
      </c>
      <c r="F726">
        <v>3.0</v>
      </c>
      <c r="G726">
        <v>3.0</v>
      </c>
      <c r="H726" t="str">
        <f t="shared" si="2"/>
        <v>9</v>
      </c>
      <c r="I726">
        <v>165.0</v>
      </c>
      <c r="J726" t="str">
        <f t="shared" si="3"/>
        <v>523.875</v>
      </c>
      <c r="K726" t="str">
        <f t="shared" si="4"/>
        <v>1613.535</v>
      </c>
      <c r="L726" t="str">
        <f t="shared" si="5"/>
        <v>17.92816667</v>
      </c>
      <c r="M726" t="str">
        <f t="shared" si="6"/>
        <v>308</v>
      </c>
      <c r="N726" t="s">
        <v>182</v>
      </c>
      <c r="O726" t="s">
        <v>1369</v>
      </c>
      <c r="P726" t="s">
        <v>1370</v>
      </c>
    </row>
    <row r="727" ht="15.75" customHeight="1">
      <c r="A727">
        <v>729.0</v>
      </c>
      <c r="B727">
        <v>55.0</v>
      </c>
      <c r="C727">
        <v>35.0</v>
      </c>
      <c r="D727">
        <v>3.0</v>
      </c>
      <c r="E727" t="str">
        <f t="shared" si="1"/>
        <v>3.1</v>
      </c>
      <c r="F727">
        <v>6.0</v>
      </c>
      <c r="G727">
        <v>8.0</v>
      </c>
      <c r="H727" t="str">
        <f t="shared" si="2"/>
        <v>48</v>
      </c>
      <c r="I727">
        <v>96.0</v>
      </c>
      <c r="J727" t="str">
        <f t="shared" si="3"/>
        <v>304.8</v>
      </c>
      <c r="K727" t="str">
        <f t="shared" si="4"/>
        <v>1112.52</v>
      </c>
      <c r="L727" t="str">
        <f t="shared" si="5"/>
        <v>2.31775</v>
      </c>
      <c r="M727" t="str">
        <f t="shared" si="6"/>
        <v>365</v>
      </c>
      <c r="N727" t="s">
        <v>187</v>
      </c>
      <c r="O727" t="s">
        <v>1371</v>
      </c>
      <c r="P727" s="126" t="s">
        <v>1372</v>
      </c>
    </row>
    <row r="728" ht="15.75" customHeight="1">
      <c r="A728">
        <v>730.0</v>
      </c>
      <c r="B728">
        <v>85.0</v>
      </c>
      <c r="C728">
        <v>74.0</v>
      </c>
      <c r="D728">
        <v>4.0</v>
      </c>
      <c r="E728" t="str">
        <f t="shared" si="1"/>
        <v>3.7875</v>
      </c>
      <c r="F728">
        <v>4.0</v>
      </c>
      <c r="G728">
        <v>4.0</v>
      </c>
      <c r="H728" t="str">
        <f t="shared" si="2"/>
        <v>16</v>
      </c>
      <c r="I728">
        <v>98.0</v>
      </c>
      <c r="J728" t="str">
        <f t="shared" si="3"/>
        <v>311.15</v>
      </c>
      <c r="K728" t="str">
        <f t="shared" si="4"/>
        <v>1160.5895</v>
      </c>
      <c r="L728" t="str">
        <f t="shared" si="5"/>
        <v>7.253684375</v>
      </c>
      <c r="M728" t="str">
        <f t="shared" si="6"/>
        <v>373</v>
      </c>
      <c r="N728" t="s">
        <v>182</v>
      </c>
      <c r="O728" t="s">
        <v>1373</v>
      </c>
      <c r="P728" t="s">
        <v>1374</v>
      </c>
    </row>
    <row r="729" ht="15.75" customHeight="1">
      <c r="A729">
        <v>731.0</v>
      </c>
      <c r="B729">
        <v>86.0</v>
      </c>
      <c r="C729">
        <v>58.0</v>
      </c>
      <c r="D729">
        <v>3.0</v>
      </c>
      <c r="E729" t="str">
        <f t="shared" si="1"/>
        <v>2.96</v>
      </c>
      <c r="F729">
        <v>4.0</v>
      </c>
      <c r="G729">
        <v>5.0</v>
      </c>
      <c r="H729" t="str">
        <f t="shared" si="2"/>
        <v>20</v>
      </c>
      <c r="I729">
        <v>96.0</v>
      </c>
      <c r="J729" t="str">
        <f t="shared" si="3"/>
        <v>304.8</v>
      </c>
      <c r="K729" t="str">
        <f t="shared" si="4"/>
        <v>1136.904</v>
      </c>
      <c r="L729" t="str">
        <f t="shared" si="5"/>
        <v>5.68452</v>
      </c>
      <c r="M729" t="str">
        <f t="shared" si="6"/>
        <v>373</v>
      </c>
      <c r="N729" t="s">
        <v>182</v>
      </c>
      <c r="O729" t="s">
        <v>1375</v>
      </c>
      <c r="P729" t="s">
        <v>823</v>
      </c>
    </row>
    <row r="730" ht="15.75" customHeight="1">
      <c r="A730">
        <v>732.0</v>
      </c>
      <c r="B730">
        <v>192.0</v>
      </c>
      <c r="C730">
        <v>170.0</v>
      </c>
      <c r="D730">
        <v>4.0</v>
      </c>
      <c r="E730" t="str">
        <f t="shared" si="1"/>
        <v>4.625</v>
      </c>
      <c r="F730">
        <v>2.0</v>
      </c>
      <c r="G730">
        <v>3.0</v>
      </c>
      <c r="H730" t="str">
        <f t="shared" si="2"/>
        <v>6</v>
      </c>
      <c r="I730">
        <v>165.0</v>
      </c>
      <c r="J730" t="str">
        <f t="shared" si="3"/>
        <v>523.875</v>
      </c>
      <c r="K730" t="str">
        <f t="shared" si="4"/>
        <v>2142.64875</v>
      </c>
      <c r="L730" t="str">
        <f t="shared" si="5"/>
        <v>35.7108125</v>
      </c>
      <c r="M730" t="str">
        <f t="shared" si="6"/>
        <v>409</v>
      </c>
      <c r="N730" t="s">
        <v>182</v>
      </c>
      <c r="O730" t="s">
        <v>1376</v>
      </c>
      <c r="P730" t="s">
        <v>1377</v>
      </c>
    </row>
    <row r="731" ht="15.75" customHeight="1">
      <c r="A731">
        <v>733.0</v>
      </c>
      <c r="B731">
        <v>140.0</v>
      </c>
      <c r="C731">
        <v>86.0</v>
      </c>
      <c r="D731">
        <v>4.0</v>
      </c>
      <c r="E731" t="str">
        <f t="shared" si="1"/>
        <v>4.805</v>
      </c>
      <c r="F731">
        <v>2.0</v>
      </c>
      <c r="G731">
        <v>5.0</v>
      </c>
      <c r="H731" t="str">
        <f t="shared" si="2"/>
        <v>10</v>
      </c>
      <c r="I731">
        <v>143.0</v>
      </c>
      <c r="J731" t="str">
        <f t="shared" si="3"/>
        <v>454.025</v>
      </c>
      <c r="K731" t="str">
        <f t="shared" si="4"/>
        <v>1384.77625</v>
      </c>
      <c r="L731" t="str">
        <f t="shared" si="5"/>
        <v>13.8477625</v>
      </c>
      <c r="M731" t="str">
        <f t="shared" si="6"/>
        <v>305</v>
      </c>
      <c r="N731" t="s">
        <v>182</v>
      </c>
      <c r="O731" t="s">
        <v>1378</v>
      </c>
      <c r="P731" t="s">
        <v>1379</v>
      </c>
    </row>
    <row r="732" ht="15.75" customHeight="1">
      <c r="A732">
        <v>734.0</v>
      </c>
      <c r="B732">
        <v>79.0</v>
      </c>
      <c r="C732">
        <v>44.0</v>
      </c>
      <c r="D732">
        <v>3.0</v>
      </c>
      <c r="E732" t="str">
        <f t="shared" si="1"/>
        <v>3.625</v>
      </c>
      <c r="F732">
        <v>4.0</v>
      </c>
      <c r="G732">
        <v>8.0</v>
      </c>
      <c r="H732" t="str">
        <f t="shared" si="2"/>
        <v>32</v>
      </c>
      <c r="I732">
        <v>120.0</v>
      </c>
      <c r="J732" t="str">
        <f t="shared" si="3"/>
        <v>381</v>
      </c>
      <c r="K732" t="str">
        <f t="shared" si="4"/>
        <v>1314.45</v>
      </c>
      <c r="L732" t="str">
        <f t="shared" si="5"/>
        <v>4.10765625</v>
      </c>
      <c r="M732" t="str">
        <f t="shared" si="6"/>
        <v>345</v>
      </c>
      <c r="N732" t="s">
        <v>182</v>
      </c>
      <c r="O732" t="s">
        <v>1380</v>
      </c>
      <c r="P732" s="126" t="s">
        <v>1381</v>
      </c>
    </row>
    <row r="733" ht="15.75" customHeight="1">
      <c r="A733">
        <v>735.0</v>
      </c>
      <c r="B733">
        <v>127.0</v>
      </c>
      <c r="C733">
        <v>94.0</v>
      </c>
      <c r="D733">
        <v>4.0</v>
      </c>
      <c r="E733" t="str">
        <f t="shared" si="1"/>
        <v>6.0125</v>
      </c>
      <c r="F733">
        <v>2.0</v>
      </c>
      <c r="G733">
        <v>4.0</v>
      </c>
      <c r="H733" t="str">
        <f t="shared" si="2"/>
        <v>8</v>
      </c>
      <c r="I733">
        <v>126.0</v>
      </c>
      <c r="J733" t="str">
        <f t="shared" si="3"/>
        <v>400.05</v>
      </c>
      <c r="K733" t="str">
        <f t="shared" si="4"/>
        <v>1116.1395</v>
      </c>
      <c r="L733" t="str">
        <f t="shared" si="5"/>
        <v>13.95174375</v>
      </c>
      <c r="M733" t="str">
        <f t="shared" si="6"/>
        <v>279</v>
      </c>
      <c r="N733" t="s">
        <v>182</v>
      </c>
      <c r="O733" t="s">
        <v>1382</v>
      </c>
      <c r="P733" s="126" t="s">
        <v>1383</v>
      </c>
    </row>
    <row r="734" ht="15.75" customHeight="1">
      <c r="A734">
        <v>736.0</v>
      </c>
      <c r="B734">
        <v>115.0</v>
      </c>
      <c r="C734">
        <v>104.0</v>
      </c>
      <c r="D734">
        <v>4.0</v>
      </c>
      <c r="E734" t="str">
        <f t="shared" si="1"/>
        <v>3.95</v>
      </c>
      <c r="F734">
        <v>2.0</v>
      </c>
      <c r="G734">
        <v>3.0</v>
      </c>
      <c r="H734" t="str">
        <f t="shared" si="2"/>
        <v>6</v>
      </c>
      <c r="I734">
        <v>102.0</v>
      </c>
      <c r="J734" t="str">
        <f t="shared" si="3"/>
        <v>323.85</v>
      </c>
      <c r="K734" t="str">
        <f t="shared" si="4"/>
        <v>825.8175</v>
      </c>
      <c r="L734" t="str">
        <f t="shared" si="5"/>
        <v>13.763625</v>
      </c>
      <c r="M734" t="str">
        <f t="shared" si="6"/>
        <v>255</v>
      </c>
      <c r="N734" t="s">
        <v>182</v>
      </c>
      <c r="O734" t="s">
        <v>1384</v>
      </c>
      <c r="P734" s="126" t="s">
        <v>1385</v>
      </c>
    </row>
    <row r="735" ht="15.75" customHeight="1">
      <c r="A735">
        <v>737.0</v>
      </c>
      <c r="B735">
        <v>54.0</v>
      </c>
      <c r="C735">
        <v>33.0</v>
      </c>
      <c r="D735">
        <v>3.0</v>
      </c>
      <c r="E735" t="str">
        <f t="shared" si="1"/>
        <v>2.983333333</v>
      </c>
      <c r="F735">
        <v>6.0</v>
      </c>
      <c r="G735">
        <v>9.0</v>
      </c>
      <c r="H735" t="str">
        <f t="shared" si="2"/>
        <v>54</v>
      </c>
      <c r="I735">
        <v>102.0</v>
      </c>
      <c r="J735" t="str">
        <f t="shared" si="3"/>
        <v>323.85</v>
      </c>
      <c r="K735" t="str">
        <f t="shared" si="4"/>
        <v>1162.6215</v>
      </c>
      <c r="L735" t="str">
        <f t="shared" si="5"/>
        <v>2.153002778</v>
      </c>
      <c r="M735" t="str">
        <f t="shared" si="6"/>
        <v>359</v>
      </c>
      <c r="N735" t="s">
        <v>182</v>
      </c>
      <c r="O735" t="s">
        <v>1386</v>
      </c>
      <c r="P735" s="126" t="s">
        <v>1387</v>
      </c>
    </row>
    <row r="736" ht="15.75" customHeight="1">
      <c r="A736">
        <v>738.0</v>
      </c>
      <c r="B736">
        <v>76.0</v>
      </c>
      <c r="C736">
        <v>44.0</v>
      </c>
      <c r="D736">
        <v>3.0</v>
      </c>
      <c r="E736" t="str">
        <f t="shared" si="1"/>
        <v>3.625</v>
      </c>
      <c r="F736">
        <v>4.0</v>
      </c>
      <c r="G736">
        <v>7.0</v>
      </c>
      <c r="H736" t="str">
        <f t="shared" si="2"/>
        <v>28</v>
      </c>
      <c r="I736">
        <v>105.0</v>
      </c>
      <c r="J736" t="str">
        <f t="shared" si="3"/>
        <v>333.375</v>
      </c>
      <c r="K736" t="str">
        <f t="shared" si="4"/>
        <v>1110.13875</v>
      </c>
      <c r="L736" t="str">
        <f t="shared" si="5"/>
        <v>3.96478125</v>
      </c>
      <c r="M736" t="str">
        <f t="shared" si="6"/>
        <v>333</v>
      </c>
      <c r="N736" t="s">
        <v>182</v>
      </c>
      <c r="O736" t="s">
        <v>1388</v>
      </c>
      <c r="P736" s="126" t="s">
        <v>1389</v>
      </c>
    </row>
    <row r="737" ht="15.75" customHeight="1">
      <c r="A737">
        <v>739.0</v>
      </c>
      <c r="B737">
        <v>126.0</v>
      </c>
      <c r="C737">
        <v>111.0</v>
      </c>
      <c r="D737">
        <v>4.0</v>
      </c>
      <c r="E737" t="str">
        <f t="shared" si="1"/>
        <v>3.3</v>
      </c>
      <c r="F737">
        <v>2.0</v>
      </c>
      <c r="G737">
        <v>3.0</v>
      </c>
      <c r="H737" t="str">
        <f t="shared" si="2"/>
        <v>6</v>
      </c>
      <c r="I737">
        <v>108.0</v>
      </c>
      <c r="J737" t="str">
        <f t="shared" si="3"/>
        <v>342.9</v>
      </c>
      <c r="K737" t="str">
        <f t="shared" si="4"/>
        <v>949.833</v>
      </c>
      <c r="L737" t="str">
        <f t="shared" si="5"/>
        <v>15.83055</v>
      </c>
      <c r="M737" t="str">
        <f t="shared" si="6"/>
        <v>277</v>
      </c>
      <c r="N737" t="s">
        <v>187</v>
      </c>
      <c r="O737" t="s">
        <v>1390</v>
      </c>
      <c r="P737" s="126" t="s">
        <v>1391</v>
      </c>
    </row>
    <row r="738" ht="15.75" customHeight="1">
      <c r="A738">
        <v>740.0</v>
      </c>
      <c r="B738">
        <v>47.3</v>
      </c>
      <c r="C738">
        <v>33.8</v>
      </c>
      <c r="D738">
        <v>3.0</v>
      </c>
      <c r="E738" t="str">
        <f t="shared" si="1"/>
        <v>3.241666667</v>
      </c>
      <c r="F738">
        <v>8.0</v>
      </c>
      <c r="G738">
        <v>9.0</v>
      </c>
      <c r="H738" t="str">
        <f t="shared" si="2"/>
        <v>72</v>
      </c>
      <c r="I738">
        <v>105.0</v>
      </c>
      <c r="J738" t="str">
        <f t="shared" si="3"/>
        <v>333.375</v>
      </c>
      <c r="K738" t="str">
        <f t="shared" si="4"/>
        <v>1398.17475</v>
      </c>
      <c r="L738" t="str">
        <f t="shared" si="5"/>
        <v>1.941909375</v>
      </c>
      <c r="M738" t="str">
        <f t="shared" si="6"/>
        <v>419.4</v>
      </c>
      <c r="N738" t="s">
        <v>182</v>
      </c>
      <c r="O738" t="s">
        <v>1392</v>
      </c>
      <c r="P738" s="126" t="s">
        <v>1393</v>
      </c>
    </row>
    <row r="739" ht="15.75" customHeight="1">
      <c r="A739">
        <v>741.0</v>
      </c>
      <c r="B739">
        <v>23.0</v>
      </c>
      <c r="C739">
        <v>15.0</v>
      </c>
      <c r="D739">
        <v>3.0</v>
      </c>
      <c r="E739" t="str">
        <f t="shared" si="1"/>
        <v>2.929411765</v>
      </c>
      <c r="F739">
        <v>12.0</v>
      </c>
      <c r="G739">
        <v>17.0</v>
      </c>
      <c r="H739" t="str">
        <f t="shared" si="2"/>
        <v>204</v>
      </c>
      <c r="I739">
        <v>96.0</v>
      </c>
      <c r="J739" t="str">
        <f t="shared" si="3"/>
        <v>304.8</v>
      </c>
      <c r="K739" t="str">
        <f t="shared" si="4"/>
        <v>1002.792</v>
      </c>
      <c r="L739" t="str">
        <f t="shared" si="5"/>
        <v>0.4915647059</v>
      </c>
      <c r="M739" t="str">
        <f t="shared" si="6"/>
        <v>329</v>
      </c>
      <c r="N739" t="s">
        <v>182</v>
      </c>
      <c r="O739" t="s">
        <v>1394</v>
      </c>
      <c r="P739" t="s">
        <v>1395</v>
      </c>
    </row>
    <row r="740" ht="15.75" customHeight="1">
      <c r="A740">
        <v>742.0</v>
      </c>
      <c r="B740">
        <v>230.0</v>
      </c>
      <c r="C740">
        <v>68.0</v>
      </c>
      <c r="D740">
        <v>3.0</v>
      </c>
      <c r="E740" t="str">
        <f t="shared" si="1"/>
        <v>3.4375</v>
      </c>
      <c r="F740">
        <v>1.0</v>
      </c>
      <c r="G740">
        <v>6.0</v>
      </c>
      <c r="H740" t="str">
        <f t="shared" si="2"/>
        <v>6</v>
      </c>
      <c r="I740">
        <v>135.0</v>
      </c>
      <c r="J740" t="str">
        <f t="shared" si="3"/>
        <v>428.625</v>
      </c>
      <c r="K740" t="str">
        <f t="shared" si="4"/>
        <v>1071.5625</v>
      </c>
      <c r="L740" t="str">
        <f t="shared" si="5"/>
        <v>17.859375</v>
      </c>
      <c r="M740" t="str">
        <f t="shared" si="6"/>
        <v>250</v>
      </c>
      <c r="N740" t="s">
        <v>182</v>
      </c>
      <c r="O740" t="s">
        <v>1396</v>
      </c>
      <c r="P740" t="s">
        <v>1397</v>
      </c>
    </row>
    <row r="741" ht="15.75" customHeight="1">
      <c r="A741">
        <v>743.0</v>
      </c>
      <c r="B741">
        <v>107.0</v>
      </c>
      <c r="C741">
        <v>170.0</v>
      </c>
      <c r="D741">
        <v>3.0</v>
      </c>
      <c r="E741" t="str">
        <f t="shared" si="1"/>
        <v>4.625</v>
      </c>
      <c r="F741">
        <v>3.0</v>
      </c>
      <c r="G741">
        <v>3.0</v>
      </c>
      <c r="H741" t="str">
        <f t="shared" si="2"/>
        <v>9</v>
      </c>
      <c r="I741">
        <v>165.0</v>
      </c>
      <c r="J741" t="str">
        <f t="shared" si="3"/>
        <v>523.875</v>
      </c>
      <c r="K741" t="str">
        <f t="shared" si="4"/>
        <v>1817.84625</v>
      </c>
      <c r="L741" t="str">
        <f t="shared" si="5"/>
        <v>20.19829167</v>
      </c>
      <c r="M741" t="str">
        <f t="shared" si="6"/>
        <v>347</v>
      </c>
      <c r="N741" t="s">
        <v>182</v>
      </c>
      <c r="O741" t="s">
        <v>1398</v>
      </c>
      <c r="P741" t="s">
        <v>1399</v>
      </c>
    </row>
    <row r="742" ht="15.75" customHeight="1">
      <c r="A742">
        <v>744.0</v>
      </c>
      <c r="B742">
        <v>68.0</v>
      </c>
      <c r="C742">
        <v>176.0</v>
      </c>
      <c r="D742">
        <v>6.0</v>
      </c>
      <c r="E742" t="str">
        <f t="shared" si="1"/>
        <v>10.26666667</v>
      </c>
      <c r="F742">
        <v>4.0</v>
      </c>
      <c r="G742">
        <v>3.0</v>
      </c>
      <c r="H742" t="str">
        <f t="shared" si="2"/>
        <v>12</v>
      </c>
      <c r="I742">
        <v>176.0</v>
      </c>
      <c r="J742" t="str">
        <f t="shared" si="3"/>
        <v>558.8</v>
      </c>
      <c r="K742" t="str">
        <f t="shared" si="4"/>
        <v>1749.044</v>
      </c>
      <c r="L742" t="str">
        <f t="shared" si="5"/>
        <v>14.57536667</v>
      </c>
      <c r="M742" t="str">
        <f t="shared" si="6"/>
        <v>313</v>
      </c>
      <c r="N742" t="s">
        <v>182</v>
      </c>
      <c r="O742" t="s">
        <v>1400</v>
      </c>
      <c r="P742" t="s">
        <v>1401</v>
      </c>
    </row>
    <row r="743" ht="15.75" customHeight="1">
      <c r="A743">
        <v>745.0</v>
      </c>
      <c r="B743">
        <v>115.0</v>
      </c>
      <c r="C743">
        <v>95.0</v>
      </c>
      <c r="D743">
        <v>3.0</v>
      </c>
      <c r="E743" t="str">
        <f t="shared" si="1"/>
        <v>5.0125</v>
      </c>
      <c r="F743">
        <v>3.0</v>
      </c>
      <c r="G743">
        <v>4.0</v>
      </c>
      <c r="H743" t="str">
        <f t="shared" si="2"/>
        <v>12</v>
      </c>
      <c r="I743">
        <v>126.0</v>
      </c>
      <c r="J743" t="str">
        <f t="shared" si="3"/>
        <v>400.05</v>
      </c>
      <c r="K743" t="str">
        <f t="shared" si="4"/>
        <v>1484.1855</v>
      </c>
      <c r="L743" t="str">
        <f t="shared" si="5"/>
        <v>12.3682125</v>
      </c>
      <c r="M743" t="str">
        <f t="shared" si="6"/>
        <v>371</v>
      </c>
      <c r="N743" t="s">
        <v>182</v>
      </c>
      <c r="O743" t="s">
        <v>1402</v>
      </c>
      <c r="P743" t="s">
        <v>1403</v>
      </c>
    </row>
    <row r="744" ht="15.75" customHeight="1">
      <c r="A744">
        <v>746.0</v>
      </c>
      <c r="B744">
        <v>28.0</v>
      </c>
      <c r="C744">
        <v>90.0</v>
      </c>
      <c r="D744">
        <v>3.0</v>
      </c>
      <c r="E744" t="str">
        <f t="shared" si="1"/>
        <v>3.133333333</v>
      </c>
      <c r="F744">
        <v>12.0</v>
      </c>
      <c r="G744">
        <v>6.0</v>
      </c>
      <c r="H744" t="str">
        <f t="shared" si="2"/>
        <v>72</v>
      </c>
      <c r="I744">
        <v>176.0</v>
      </c>
      <c r="J744" t="str">
        <f t="shared" si="3"/>
        <v>558.8</v>
      </c>
      <c r="K744" t="str">
        <f t="shared" si="4"/>
        <v>2173.732</v>
      </c>
      <c r="L744" t="str">
        <f t="shared" si="5"/>
        <v>3.019072222</v>
      </c>
      <c r="M744" t="str">
        <f t="shared" si="6"/>
        <v>389</v>
      </c>
      <c r="N744" t="s">
        <v>182</v>
      </c>
      <c r="O744" t="s">
        <v>1404</v>
      </c>
      <c r="P744" s="126" t="s">
        <v>1405</v>
      </c>
    </row>
    <row r="745" ht="15.75" customHeight="1">
      <c r="A745">
        <v>747.0</v>
      </c>
      <c r="B745">
        <v>160.0</v>
      </c>
      <c r="C745">
        <v>64.0</v>
      </c>
      <c r="D745">
        <v>3.0</v>
      </c>
      <c r="E745" t="str">
        <f t="shared" si="1"/>
        <v>2.675</v>
      </c>
      <c r="F745">
        <v>2.0</v>
      </c>
      <c r="G745">
        <v>5.0</v>
      </c>
      <c r="H745" t="str">
        <f t="shared" si="2"/>
        <v>10</v>
      </c>
      <c r="I745">
        <v>105.0</v>
      </c>
      <c r="J745" t="str">
        <f t="shared" si="3"/>
        <v>333.375</v>
      </c>
      <c r="K745" t="str">
        <f t="shared" si="4"/>
        <v>1143.47625</v>
      </c>
      <c r="L745" t="str">
        <f t="shared" si="5"/>
        <v>11.4347625</v>
      </c>
      <c r="M745" t="str">
        <f t="shared" si="6"/>
        <v>343</v>
      </c>
      <c r="N745" t="s">
        <v>187</v>
      </c>
      <c r="O745" t="s">
        <v>1406</v>
      </c>
      <c r="P745" t="s">
        <v>1407</v>
      </c>
    </row>
    <row r="746" ht="15.75" customHeight="1">
      <c r="A746">
        <v>748.0</v>
      </c>
      <c r="B746">
        <v>110.0</v>
      </c>
      <c r="C746">
        <v>240.0</v>
      </c>
      <c r="D746">
        <v>3.0</v>
      </c>
      <c r="E746" t="str">
        <f t="shared" si="1"/>
        <v>2.8875</v>
      </c>
      <c r="F746">
        <v>3.0</v>
      </c>
      <c r="G746">
        <v>2.0</v>
      </c>
      <c r="H746" t="str">
        <f t="shared" si="2"/>
        <v>6</v>
      </c>
      <c r="I746">
        <v>153.0</v>
      </c>
      <c r="J746" t="str">
        <f t="shared" si="3"/>
        <v>485.775</v>
      </c>
      <c r="K746" t="str">
        <f t="shared" si="4"/>
        <v>1729.359</v>
      </c>
      <c r="L746" t="str">
        <f t="shared" si="5"/>
        <v>28.82265</v>
      </c>
      <c r="M746" t="str">
        <f t="shared" si="6"/>
        <v>356</v>
      </c>
      <c r="N746" t="s">
        <v>182</v>
      </c>
      <c r="O746" t="s">
        <v>1408</v>
      </c>
      <c r="P746" t="s">
        <v>1409</v>
      </c>
    </row>
    <row r="747" ht="15.75" customHeight="1">
      <c r="A747">
        <v>749.0</v>
      </c>
      <c r="B747">
        <v>134.0</v>
      </c>
      <c r="C747">
        <v>82.0</v>
      </c>
      <c r="D747">
        <v>5.0</v>
      </c>
      <c r="E747" t="str">
        <f t="shared" si="1"/>
        <v>3.725</v>
      </c>
      <c r="F747">
        <v>3.0</v>
      </c>
      <c r="G747">
        <v>4.0</v>
      </c>
      <c r="H747" t="str">
        <f t="shared" si="2"/>
        <v>12</v>
      </c>
      <c r="I747">
        <v>108.0</v>
      </c>
      <c r="J747" t="str">
        <f t="shared" si="3"/>
        <v>342.9</v>
      </c>
      <c r="K747" t="str">
        <f t="shared" si="4"/>
        <v>1488.186</v>
      </c>
      <c r="L747" t="str">
        <f t="shared" si="5"/>
        <v>12.40155</v>
      </c>
      <c r="M747" t="str">
        <f t="shared" si="6"/>
        <v>434</v>
      </c>
      <c r="N747" t="s">
        <v>182</v>
      </c>
      <c r="O747" t="s">
        <v>1410</v>
      </c>
      <c r="P747" t="s">
        <v>1411</v>
      </c>
    </row>
    <row r="748" ht="15.75" customHeight="1">
      <c r="A748">
        <v>750.0</v>
      </c>
      <c r="B748">
        <v>45.0</v>
      </c>
      <c r="C748">
        <v>93.0</v>
      </c>
      <c r="D748">
        <v>3.0</v>
      </c>
      <c r="E748" t="str">
        <f t="shared" si="1"/>
        <v>4.155</v>
      </c>
      <c r="F748">
        <v>8.0</v>
      </c>
      <c r="G748">
        <v>5.0</v>
      </c>
      <c r="H748" t="str">
        <f t="shared" si="2"/>
        <v>40</v>
      </c>
      <c r="I748">
        <v>153.0</v>
      </c>
      <c r="J748" t="str">
        <f t="shared" si="3"/>
        <v>485.775</v>
      </c>
      <c r="K748" t="str">
        <f t="shared" si="4"/>
        <v>1947.95775</v>
      </c>
      <c r="L748" t="str">
        <f t="shared" si="5"/>
        <v>4.869894375</v>
      </c>
      <c r="M748" t="str">
        <f t="shared" si="6"/>
        <v>401</v>
      </c>
      <c r="N748" t="s">
        <v>182</v>
      </c>
      <c r="O748" t="s">
        <v>1412</v>
      </c>
      <c r="P748" t="s">
        <v>1413</v>
      </c>
    </row>
    <row r="749" ht="15.75" customHeight="1">
      <c r="A749">
        <v>751.0</v>
      </c>
      <c r="B749">
        <v>55.0</v>
      </c>
      <c r="C749">
        <v>15.0</v>
      </c>
      <c r="D749">
        <v>3.0</v>
      </c>
      <c r="E749" t="str">
        <f t="shared" si="1"/>
        <v>2.929411765</v>
      </c>
      <c r="F749">
        <v>6.0</v>
      </c>
      <c r="G749">
        <v>17.0</v>
      </c>
      <c r="H749" t="str">
        <f t="shared" si="2"/>
        <v>102</v>
      </c>
      <c r="I749">
        <v>96.0</v>
      </c>
      <c r="J749" t="str">
        <f t="shared" si="3"/>
        <v>304.8</v>
      </c>
      <c r="K749" t="str">
        <f t="shared" si="4"/>
        <v>1112.52</v>
      </c>
      <c r="L749" t="str">
        <f t="shared" si="5"/>
        <v>1.090705882</v>
      </c>
      <c r="M749" t="str">
        <f t="shared" si="6"/>
        <v>365</v>
      </c>
      <c r="N749" t="s">
        <v>182</v>
      </c>
      <c r="O749" t="s">
        <v>1414</v>
      </c>
      <c r="P749" t="s">
        <v>1415</v>
      </c>
    </row>
    <row r="750" ht="15.75" customHeight="1">
      <c r="A750">
        <v>752.0</v>
      </c>
      <c r="B750">
        <v>186.5</v>
      </c>
      <c r="C750">
        <v>109.0</v>
      </c>
      <c r="D750">
        <v>5.0</v>
      </c>
      <c r="E750" t="str">
        <f t="shared" si="1"/>
        <v>5.3</v>
      </c>
      <c r="F750">
        <v>2.0</v>
      </c>
      <c r="G750">
        <v>3.0</v>
      </c>
      <c r="H750" t="str">
        <f t="shared" si="2"/>
        <v>6</v>
      </c>
      <c r="I750">
        <v>108.0</v>
      </c>
      <c r="J750" t="str">
        <f t="shared" si="3"/>
        <v>342.9</v>
      </c>
      <c r="K750" t="str">
        <f t="shared" si="4"/>
        <v>1371.6</v>
      </c>
      <c r="L750" t="str">
        <f t="shared" si="5"/>
        <v>22.86</v>
      </c>
      <c r="M750" t="str">
        <f t="shared" si="6"/>
        <v>400</v>
      </c>
      <c r="N750" t="s">
        <v>182</v>
      </c>
      <c r="O750" t="s">
        <v>1416</v>
      </c>
      <c r="P750" t="s">
        <v>1417</v>
      </c>
    </row>
    <row r="751" ht="15.75" customHeight="1">
      <c r="A751">
        <v>753.0</v>
      </c>
      <c r="B751">
        <v>184.0</v>
      </c>
      <c r="C751">
        <v>512.0</v>
      </c>
      <c r="D751">
        <v>3.0</v>
      </c>
      <c r="E751" t="str">
        <f t="shared" si="1"/>
        <v>11.875</v>
      </c>
      <c r="F751">
        <v>2.0</v>
      </c>
      <c r="G751">
        <v>1.0</v>
      </c>
      <c r="H751" t="str">
        <f t="shared" si="2"/>
        <v>2</v>
      </c>
      <c r="I751">
        <v>165.0</v>
      </c>
      <c r="J751" t="str">
        <f t="shared" si="3"/>
        <v>523.875</v>
      </c>
      <c r="K751" t="str">
        <f t="shared" si="4"/>
        <v>2048.35125</v>
      </c>
      <c r="L751" t="str">
        <f t="shared" si="5"/>
        <v>102.4175625</v>
      </c>
      <c r="M751" t="str">
        <f t="shared" si="6"/>
        <v>391</v>
      </c>
      <c r="N751" t="s">
        <v>182</v>
      </c>
      <c r="O751" t="s">
        <v>1418</v>
      </c>
      <c r="P751" t="s">
        <v>1419</v>
      </c>
    </row>
    <row r="752" ht="15.75" customHeight="1">
      <c r="A752">
        <v>754.0</v>
      </c>
      <c r="B752">
        <v>320.0</v>
      </c>
      <c r="C752">
        <v>378.0</v>
      </c>
      <c r="D752">
        <v>4.0</v>
      </c>
      <c r="E752" t="str">
        <f t="shared" si="1"/>
        <v>3</v>
      </c>
      <c r="F752">
        <v>2.0</v>
      </c>
      <c r="G752">
        <v>1.0</v>
      </c>
      <c r="H752" t="str">
        <f t="shared" si="2"/>
        <v>2</v>
      </c>
      <c r="I752">
        <v>120.0</v>
      </c>
      <c r="J752" t="str">
        <f t="shared" si="3"/>
        <v>381</v>
      </c>
      <c r="K752" t="str">
        <f t="shared" si="4"/>
        <v>2533.65</v>
      </c>
      <c r="L752" t="str">
        <f t="shared" si="5"/>
        <v>126.6825</v>
      </c>
      <c r="M752" t="str">
        <f t="shared" si="6"/>
        <v>665</v>
      </c>
      <c r="N752" t="s">
        <v>182</v>
      </c>
      <c r="O752" t="s">
        <v>1420</v>
      </c>
      <c r="P752" t="s">
        <v>1421</v>
      </c>
    </row>
    <row r="753" ht="15.75" customHeight="1">
      <c r="A753">
        <v>755.0</v>
      </c>
      <c r="B753">
        <v>40.0</v>
      </c>
      <c r="C753">
        <v>40.0</v>
      </c>
      <c r="D753">
        <v>3.0</v>
      </c>
      <c r="E753" t="str">
        <f t="shared" si="1"/>
        <v>3.542857143</v>
      </c>
      <c r="F753">
        <v>9.0</v>
      </c>
      <c r="G753">
        <v>7.0</v>
      </c>
      <c r="H753" t="str">
        <f t="shared" si="2"/>
        <v>63</v>
      </c>
      <c r="I753">
        <v>96.0</v>
      </c>
      <c r="J753" t="str">
        <f t="shared" si="3"/>
        <v>304.8</v>
      </c>
      <c r="K753" t="str">
        <f t="shared" si="4"/>
        <v>1231.392</v>
      </c>
      <c r="L753" t="str">
        <f t="shared" si="5"/>
        <v>1.954590476</v>
      </c>
      <c r="M753" t="str">
        <f t="shared" si="6"/>
        <v>404</v>
      </c>
      <c r="N753" t="s">
        <v>182</v>
      </c>
      <c r="O753" t="s">
        <v>1422</v>
      </c>
      <c r="P753" t="s">
        <v>1423</v>
      </c>
    </row>
    <row r="754" ht="15.75" customHeight="1">
      <c r="A754">
        <v>756.0</v>
      </c>
      <c r="B754">
        <v>150.0</v>
      </c>
      <c r="C754">
        <v>108.7</v>
      </c>
      <c r="D754">
        <v>3.0</v>
      </c>
      <c r="E754" t="str">
        <f t="shared" si="1"/>
        <v>5.6</v>
      </c>
      <c r="F754">
        <v>2.0</v>
      </c>
      <c r="G754">
        <v>3.0</v>
      </c>
      <c r="H754" t="str">
        <f t="shared" si="2"/>
        <v>6</v>
      </c>
      <c r="I754">
        <v>108.0</v>
      </c>
      <c r="J754" t="str">
        <f t="shared" si="3"/>
        <v>342.9</v>
      </c>
      <c r="K754" t="str">
        <f t="shared" si="4"/>
        <v>1107.567</v>
      </c>
      <c r="L754" t="str">
        <f t="shared" si="5"/>
        <v>18.45945</v>
      </c>
      <c r="M754" t="str">
        <f t="shared" si="6"/>
        <v>323</v>
      </c>
      <c r="N754" t="s">
        <v>182</v>
      </c>
      <c r="O754" t="s">
        <v>1424</v>
      </c>
      <c r="P754" t="s">
        <v>1425</v>
      </c>
    </row>
    <row r="755" ht="15.75" customHeight="1">
      <c r="A755">
        <v>757.0</v>
      </c>
      <c r="B755">
        <v>60.0</v>
      </c>
      <c r="C755">
        <v>193.0</v>
      </c>
      <c r="D755">
        <v>3.0</v>
      </c>
      <c r="E755" t="str">
        <f t="shared" si="1"/>
        <v>7.025</v>
      </c>
      <c r="F755">
        <v>6.0</v>
      </c>
      <c r="G755">
        <v>2.0</v>
      </c>
      <c r="H755" t="str">
        <f t="shared" si="2"/>
        <v>12</v>
      </c>
      <c r="I755">
        <v>126.0</v>
      </c>
      <c r="J755" t="str">
        <f t="shared" si="3"/>
        <v>400.05</v>
      </c>
      <c r="K755" t="str">
        <f t="shared" si="4"/>
        <v>1580.1975</v>
      </c>
      <c r="L755" t="str">
        <f t="shared" si="5"/>
        <v>13.1683125</v>
      </c>
      <c r="M755" t="str">
        <f t="shared" si="6"/>
        <v>395</v>
      </c>
      <c r="N755" t="s">
        <v>182</v>
      </c>
      <c r="O755" t="s">
        <v>1426</v>
      </c>
      <c r="P755" t="s">
        <v>1427</v>
      </c>
    </row>
    <row r="756" ht="15.75" customHeight="1">
      <c r="A756">
        <v>758.0</v>
      </c>
      <c r="B756">
        <v>80.6</v>
      </c>
      <c r="C756">
        <v>43.6</v>
      </c>
      <c r="D756">
        <v>3.0</v>
      </c>
      <c r="E756" t="str">
        <f t="shared" si="1"/>
        <v>4.025</v>
      </c>
      <c r="F756">
        <v>4.0</v>
      </c>
      <c r="G756">
        <v>8.0</v>
      </c>
      <c r="H756" t="str">
        <f t="shared" si="2"/>
        <v>32</v>
      </c>
      <c r="I756">
        <v>120.0</v>
      </c>
      <c r="J756" t="str">
        <f t="shared" si="3"/>
        <v>381</v>
      </c>
      <c r="K756" t="str">
        <f t="shared" si="4"/>
        <v>1338.834</v>
      </c>
      <c r="L756" t="str">
        <f t="shared" si="5"/>
        <v>4.18385625</v>
      </c>
      <c r="M756" t="str">
        <f t="shared" si="6"/>
        <v>351.4</v>
      </c>
      <c r="N756" t="s">
        <v>182</v>
      </c>
      <c r="O756" t="s">
        <v>1428</v>
      </c>
      <c r="P756" t="s">
        <v>1262</v>
      </c>
    </row>
    <row r="757" ht="15.75" customHeight="1">
      <c r="A757">
        <v>759.0</v>
      </c>
      <c r="B757">
        <v>40.0</v>
      </c>
      <c r="C757">
        <v>192.0</v>
      </c>
      <c r="D757">
        <v>3.0</v>
      </c>
      <c r="E757" t="str">
        <f t="shared" si="1"/>
        <v>8.025</v>
      </c>
      <c r="F757">
        <v>8.0</v>
      </c>
      <c r="G757">
        <v>2.0</v>
      </c>
      <c r="H757" t="str">
        <f t="shared" si="2"/>
        <v>16</v>
      </c>
      <c r="I757">
        <v>126.0</v>
      </c>
      <c r="J757" t="str">
        <f t="shared" si="3"/>
        <v>400.05</v>
      </c>
      <c r="K757" t="str">
        <f t="shared" si="4"/>
        <v>1444.1805</v>
      </c>
      <c r="L757" t="str">
        <f t="shared" si="5"/>
        <v>9.026128125</v>
      </c>
      <c r="M757" t="str">
        <f t="shared" si="6"/>
        <v>361</v>
      </c>
      <c r="N757" t="s">
        <v>182</v>
      </c>
      <c r="O757" t="s">
        <v>1429</v>
      </c>
      <c r="P757" t="s">
        <v>1430</v>
      </c>
    </row>
    <row r="758" ht="15.75" customHeight="1">
      <c r="A758">
        <v>760.0</v>
      </c>
      <c r="B758">
        <v>68.0</v>
      </c>
      <c r="C758">
        <v>68.0</v>
      </c>
      <c r="D758">
        <v>3.0</v>
      </c>
      <c r="E758" t="str">
        <f t="shared" si="1"/>
        <v>3.4375</v>
      </c>
      <c r="F758">
        <v>4.0</v>
      </c>
      <c r="G758">
        <v>6.0</v>
      </c>
      <c r="H758" t="str">
        <f t="shared" si="2"/>
        <v>24</v>
      </c>
      <c r="I758">
        <v>135.0</v>
      </c>
      <c r="J758" t="str">
        <f t="shared" si="3"/>
        <v>428.625</v>
      </c>
      <c r="K758" t="str">
        <f t="shared" si="4"/>
        <v>1290.16125</v>
      </c>
      <c r="L758" t="str">
        <f t="shared" si="5"/>
        <v>5.375671875</v>
      </c>
      <c r="M758" t="str">
        <f t="shared" si="6"/>
        <v>301</v>
      </c>
      <c r="N758" t="s">
        <v>182</v>
      </c>
      <c r="O758" t="s">
        <v>1431</v>
      </c>
      <c r="P758" t="s">
        <v>1432</v>
      </c>
    </row>
    <row r="759" ht="15.75" customHeight="1">
      <c r="A759">
        <v>761.0</v>
      </c>
      <c r="B759">
        <v>140.0</v>
      </c>
      <c r="C759">
        <v>70.0</v>
      </c>
      <c r="D759">
        <v>3.0</v>
      </c>
      <c r="E759" t="str">
        <f t="shared" si="1"/>
        <v>4.839285714</v>
      </c>
      <c r="F759">
        <v>2.0</v>
      </c>
      <c r="G759">
        <v>7.0</v>
      </c>
      <c r="H759" t="str">
        <f t="shared" si="2"/>
        <v>14</v>
      </c>
      <c r="I759">
        <v>165.0</v>
      </c>
      <c r="J759" t="str">
        <f t="shared" si="3"/>
        <v>523.875</v>
      </c>
      <c r="K759" t="str">
        <f t="shared" si="4"/>
        <v>1587.34125</v>
      </c>
      <c r="L759" t="str">
        <f t="shared" si="5"/>
        <v>11.33815179</v>
      </c>
      <c r="M759" t="str">
        <f t="shared" si="6"/>
        <v>303</v>
      </c>
      <c r="N759" t="s">
        <v>187</v>
      </c>
      <c r="O759" t="s">
        <v>1433</v>
      </c>
      <c r="P759" t="s">
        <v>1434</v>
      </c>
    </row>
    <row r="760" ht="15.75" customHeight="1">
      <c r="A760">
        <v>762.0</v>
      </c>
      <c r="B760">
        <v>95.0</v>
      </c>
      <c r="C760">
        <v>58.0</v>
      </c>
      <c r="D760">
        <v>3.0</v>
      </c>
      <c r="E760" t="str">
        <f t="shared" si="1"/>
        <v>2.96</v>
      </c>
      <c r="F760">
        <v>4.0</v>
      </c>
      <c r="G760">
        <v>5.0</v>
      </c>
      <c r="H760" t="str">
        <f t="shared" si="2"/>
        <v>20</v>
      </c>
      <c r="I760">
        <v>96.0</v>
      </c>
      <c r="J760" t="str">
        <f t="shared" si="3"/>
        <v>304.8</v>
      </c>
      <c r="K760" t="str">
        <f t="shared" si="4"/>
        <v>1246.632</v>
      </c>
      <c r="L760" t="str">
        <f t="shared" si="5"/>
        <v>6.23316</v>
      </c>
      <c r="M760" t="str">
        <f t="shared" si="6"/>
        <v>409</v>
      </c>
      <c r="N760" t="s">
        <v>182</v>
      </c>
      <c r="O760" t="s">
        <v>1435</v>
      </c>
      <c r="P760" s="126" t="s">
        <v>1436</v>
      </c>
    </row>
    <row r="761" ht="15.75" customHeight="1">
      <c r="A761">
        <v>763.0</v>
      </c>
      <c r="B761">
        <v>39.0</v>
      </c>
      <c r="C761">
        <v>56.0</v>
      </c>
      <c r="D761">
        <v>3.0</v>
      </c>
      <c r="E761" t="str">
        <f t="shared" si="1"/>
        <v>4.96</v>
      </c>
      <c r="F761">
        <v>8.0</v>
      </c>
      <c r="G761">
        <v>5.0</v>
      </c>
      <c r="H761" t="str">
        <f t="shared" si="2"/>
        <v>40</v>
      </c>
      <c r="I761">
        <v>96.0</v>
      </c>
      <c r="J761" t="str">
        <f t="shared" si="3"/>
        <v>304.8</v>
      </c>
      <c r="K761" t="str">
        <f t="shared" si="4"/>
        <v>1075.944</v>
      </c>
      <c r="L761" t="str">
        <f t="shared" si="5"/>
        <v>2.68986</v>
      </c>
      <c r="M761" t="str">
        <f t="shared" si="6"/>
        <v>353</v>
      </c>
      <c r="N761" t="s">
        <v>182</v>
      </c>
      <c r="O761" t="s">
        <v>1437</v>
      </c>
      <c r="P761" s="126" t="s">
        <v>1438</v>
      </c>
    </row>
    <row r="762" ht="15.75" customHeight="1">
      <c r="A762">
        <v>764.0</v>
      </c>
      <c r="B762">
        <v>117.0</v>
      </c>
      <c r="C762">
        <v>72.0</v>
      </c>
      <c r="D762">
        <v>4.0</v>
      </c>
      <c r="E762" t="str">
        <f t="shared" si="1"/>
        <v>4.2</v>
      </c>
      <c r="F762">
        <v>3.0</v>
      </c>
      <c r="G762">
        <v>4.0</v>
      </c>
      <c r="H762" t="str">
        <f t="shared" si="2"/>
        <v>12</v>
      </c>
      <c r="I762">
        <v>96.0</v>
      </c>
      <c r="J762" t="str">
        <f t="shared" si="3"/>
        <v>304.8</v>
      </c>
      <c r="K762" t="str">
        <f t="shared" si="4"/>
        <v>1158.24</v>
      </c>
      <c r="L762" t="str">
        <f t="shared" si="5"/>
        <v>9.652</v>
      </c>
      <c r="M762" t="str">
        <f t="shared" si="6"/>
        <v>380</v>
      </c>
      <c r="N762" t="s">
        <v>182</v>
      </c>
      <c r="O762" t="s">
        <v>1439</v>
      </c>
      <c r="P762" t="s">
        <v>1440</v>
      </c>
    </row>
    <row r="763" ht="15.75" customHeight="1">
      <c r="A763">
        <v>765.0</v>
      </c>
      <c r="B763">
        <v>45.0</v>
      </c>
      <c r="C763">
        <v>63.0</v>
      </c>
      <c r="D763">
        <v>3.0</v>
      </c>
      <c r="E763" t="str">
        <f t="shared" si="1"/>
        <v>3.675</v>
      </c>
      <c r="F763">
        <v>6.0</v>
      </c>
      <c r="G763">
        <v>5.0</v>
      </c>
      <c r="H763" t="str">
        <f t="shared" si="2"/>
        <v>30</v>
      </c>
      <c r="I763">
        <v>105.0</v>
      </c>
      <c r="J763" t="str">
        <f t="shared" si="3"/>
        <v>333.375</v>
      </c>
      <c r="K763" t="str">
        <f t="shared" si="4"/>
        <v>1016.79375</v>
      </c>
      <c r="L763" t="str">
        <f t="shared" si="5"/>
        <v>3.3893125</v>
      </c>
      <c r="M763" t="str">
        <f t="shared" si="6"/>
        <v>305</v>
      </c>
      <c r="N763" t="s">
        <v>182</v>
      </c>
      <c r="O763" t="s">
        <v>1441</v>
      </c>
      <c r="P763" t="s">
        <v>1442</v>
      </c>
    </row>
    <row r="764" ht="15.75" customHeight="1">
      <c r="A764">
        <v>766.0</v>
      </c>
      <c r="B764">
        <v>124.0</v>
      </c>
      <c r="C764">
        <v>63.0</v>
      </c>
      <c r="D764">
        <v>3.0</v>
      </c>
      <c r="E764" t="str">
        <f t="shared" si="1"/>
        <v>3.675</v>
      </c>
      <c r="F764">
        <v>3.0</v>
      </c>
      <c r="G764">
        <v>5.0</v>
      </c>
      <c r="H764" t="str">
        <f t="shared" si="2"/>
        <v>15</v>
      </c>
      <c r="I764">
        <v>105.0</v>
      </c>
      <c r="J764" t="str">
        <f t="shared" si="3"/>
        <v>333.375</v>
      </c>
      <c r="K764" t="str">
        <f t="shared" si="4"/>
        <v>1326.8325</v>
      </c>
      <c r="L764" t="str">
        <f t="shared" si="5"/>
        <v>8.84555</v>
      </c>
      <c r="M764" t="str">
        <f t="shared" si="6"/>
        <v>398</v>
      </c>
      <c r="N764" t="s">
        <v>182</v>
      </c>
      <c r="O764" t="s">
        <v>1443</v>
      </c>
      <c r="P764" t="s">
        <v>1444</v>
      </c>
    </row>
    <row r="765" ht="15.75" customHeight="1">
      <c r="A765">
        <v>767.0</v>
      </c>
      <c r="B765">
        <v>55.0</v>
      </c>
      <c r="C765">
        <v>25.0</v>
      </c>
      <c r="D765">
        <v>3.0</v>
      </c>
      <c r="E765" t="str">
        <f t="shared" si="1"/>
        <v>2.709090909</v>
      </c>
      <c r="F765">
        <v>4.0</v>
      </c>
      <c r="G765">
        <v>11.0</v>
      </c>
      <c r="H765" t="str">
        <f t="shared" si="2"/>
        <v>44</v>
      </c>
      <c r="I765">
        <v>96.0</v>
      </c>
      <c r="J765" t="str">
        <f t="shared" si="3"/>
        <v>304.8</v>
      </c>
      <c r="K765" t="str">
        <f t="shared" si="4"/>
        <v>758.952</v>
      </c>
      <c r="L765" t="str">
        <f t="shared" si="5"/>
        <v>1.724890909</v>
      </c>
      <c r="M765" t="str">
        <f t="shared" si="6"/>
        <v>249</v>
      </c>
      <c r="N765" t="s">
        <v>187</v>
      </c>
      <c r="O765" t="s">
        <v>1445</v>
      </c>
      <c r="P765" s="126" t="s">
        <v>1446</v>
      </c>
    </row>
    <row r="766" ht="15.75" customHeight="1">
      <c r="A766">
        <v>768.0</v>
      </c>
      <c r="B766">
        <v>123.0</v>
      </c>
      <c r="C766">
        <v>64.0</v>
      </c>
      <c r="D766">
        <v>4.0</v>
      </c>
      <c r="E766" t="str">
        <f t="shared" si="1"/>
        <v>3.128571429</v>
      </c>
      <c r="F766">
        <v>2.0</v>
      </c>
      <c r="G766">
        <v>7.0</v>
      </c>
      <c r="H766" t="str">
        <f t="shared" si="2"/>
        <v>14</v>
      </c>
      <c r="I766">
        <v>148.0</v>
      </c>
      <c r="J766" t="str">
        <f t="shared" si="3"/>
        <v>469.9</v>
      </c>
      <c r="K766" t="str">
        <f t="shared" si="4"/>
        <v>1273.429</v>
      </c>
      <c r="L766" t="str">
        <f t="shared" si="5"/>
        <v>9.095921429</v>
      </c>
      <c r="M766" t="str">
        <f t="shared" si="6"/>
        <v>271</v>
      </c>
      <c r="N766" t="s">
        <v>182</v>
      </c>
      <c r="O766" t="s">
        <v>1447</v>
      </c>
      <c r="P766" t="s">
        <v>1448</v>
      </c>
    </row>
    <row r="767" ht="15.75" customHeight="1">
      <c r="A767">
        <v>769.0</v>
      </c>
      <c r="B767">
        <v>74.0</v>
      </c>
      <c r="C767">
        <v>240.0</v>
      </c>
      <c r="D767">
        <v>3.0</v>
      </c>
      <c r="E767" t="str">
        <f t="shared" si="1"/>
        <v>2.8875</v>
      </c>
      <c r="F767">
        <v>5.0</v>
      </c>
      <c r="G767">
        <v>2.0</v>
      </c>
      <c r="H767" t="str">
        <f t="shared" si="2"/>
        <v>10</v>
      </c>
      <c r="I767">
        <v>153.0</v>
      </c>
      <c r="J767" t="str">
        <f t="shared" si="3"/>
        <v>485.775</v>
      </c>
      <c r="K767" t="str">
        <f t="shared" si="4"/>
        <v>1952.8155</v>
      </c>
      <c r="L767" t="str">
        <f t="shared" si="5"/>
        <v>19.528155</v>
      </c>
      <c r="M767" t="str">
        <f t="shared" si="6"/>
        <v>402</v>
      </c>
      <c r="N767" t="s">
        <v>187</v>
      </c>
      <c r="O767" t="s">
        <v>1449</v>
      </c>
      <c r="P767" t="s">
        <v>1450</v>
      </c>
    </row>
    <row r="768" ht="15.75" customHeight="1">
      <c r="A768">
        <v>770.0</v>
      </c>
      <c r="B768">
        <v>59.0</v>
      </c>
      <c r="C768">
        <v>32.5</v>
      </c>
      <c r="D768">
        <v>3.0</v>
      </c>
      <c r="E768" t="str">
        <f t="shared" si="1"/>
        <v>3.483333333</v>
      </c>
      <c r="F768">
        <v>6.0</v>
      </c>
      <c r="G768">
        <v>9.0</v>
      </c>
      <c r="H768" t="str">
        <f t="shared" si="2"/>
        <v>54</v>
      </c>
      <c r="I768">
        <v>102.0</v>
      </c>
      <c r="J768" t="str">
        <f t="shared" si="3"/>
        <v>323.85</v>
      </c>
      <c r="K768" t="str">
        <f t="shared" si="4"/>
        <v>1259.7765</v>
      </c>
      <c r="L768" t="str">
        <f t="shared" si="5"/>
        <v>2.332919444</v>
      </c>
      <c r="M768" t="str">
        <f t="shared" si="6"/>
        <v>389</v>
      </c>
      <c r="N768" t="s">
        <v>182</v>
      </c>
      <c r="O768" t="s">
        <v>1451</v>
      </c>
      <c r="P768" t="s">
        <v>1452</v>
      </c>
    </row>
    <row r="769" ht="15.75" customHeight="1">
      <c r="A769">
        <v>771.0</v>
      </c>
      <c r="B769">
        <v>80.0</v>
      </c>
      <c r="C769">
        <v>158.0</v>
      </c>
      <c r="D769">
        <v>3.0</v>
      </c>
      <c r="E769" t="str">
        <f t="shared" si="1"/>
        <v>3.925</v>
      </c>
      <c r="F769">
        <v>4.0</v>
      </c>
      <c r="G769">
        <v>2.0</v>
      </c>
      <c r="H769" t="str">
        <f t="shared" si="2"/>
        <v>8</v>
      </c>
      <c r="I769">
        <v>102.0</v>
      </c>
      <c r="J769" t="str">
        <f t="shared" si="3"/>
        <v>323.85</v>
      </c>
      <c r="K769" t="str">
        <f t="shared" si="4"/>
        <v>1130.2365</v>
      </c>
      <c r="L769" t="str">
        <f t="shared" si="5"/>
        <v>14.12795625</v>
      </c>
      <c r="M769" t="str">
        <f t="shared" si="6"/>
        <v>349</v>
      </c>
      <c r="N769" t="s">
        <v>182</v>
      </c>
      <c r="O769" t="s">
        <v>1453</v>
      </c>
      <c r="P769" s="126" t="s">
        <v>1454</v>
      </c>
    </row>
    <row r="770" ht="15.75" customHeight="1">
      <c r="A770">
        <v>772.0</v>
      </c>
      <c r="B770">
        <v>322.783</v>
      </c>
      <c r="C770">
        <v>396.0</v>
      </c>
      <c r="D770">
        <v>3.0</v>
      </c>
      <c r="E770" t="str">
        <f t="shared" si="1"/>
        <v>4.05</v>
      </c>
      <c r="F770">
        <v>1.0</v>
      </c>
      <c r="G770">
        <v>1.0</v>
      </c>
      <c r="H770" t="str">
        <f t="shared" si="2"/>
        <v>1</v>
      </c>
      <c r="I770">
        <v>126.0</v>
      </c>
      <c r="J770" t="str">
        <f t="shared" si="3"/>
        <v>400.05</v>
      </c>
      <c r="K770" t="str">
        <f t="shared" si="4"/>
        <v>1371.303392</v>
      </c>
      <c r="L770" t="str">
        <f t="shared" si="5"/>
        <v>137.1303392</v>
      </c>
      <c r="M770" t="str">
        <f t="shared" si="6"/>
        <v>342.783</v>
      </c>
      <c r="N770" t="s">
        <v>182</v>
      </c>
      <c r="O770" t="s">
        <v>1455</v>
      </c>
      <c r="P770" t="s">
        <v>1456</v>
      </c>
    </row>
    <row r="771" ht="15.75" customHeight="1">
      <c r="A771">
        <v>773.0</v>
      </c>
      <c r="B771">
        <v>0.0</v>
      </c>
      <c r="C771">
        <v>0.0</v>
      </c>
      <c r="D771">
        <v>0.0</v>
      </c>
      <c r="E771" t="str">
        <f t="shared" si="1"/>
        <v>#DIV/0!</v>
      </c>
      <c r="F771">
        <v>0.0</v>
      </c>
      <c r="G771">
        <v>0.0</v>
      </c>
      <c r="H771" t="str">
        <f t="shared" si="2"/>
        <v>0</v>
      </c>
      <c r="I771">
        <v>102.0</v>
      </c>
      <c r="J771" t="str">
        <f t="shared" si="3"/>
        <v>323.85</v>
      </c>
      <c r="K771" t="str">
        <f t="shared" si="4"/>
        <v>55.0545</v>
      </c>
      <c r="L771" t="str">
        <f t="shared" si="5"/>
        <v>#DIV/0!</v>
      </c>
      <c r="M771" t="str">
        <f t="shared" si="6"/>
        <v>17</v>
      </c>
      <c r="N771" t="s">
        <v>182</v>
      </c>
      <c r="O771" t="s">
        <v>1457</v>
      </c>
    </row>
    <row r="772" ht="15.75" customHeight="1">
      <c r="A772">
        <v>774.0</v>
      </c>
      <c r="B772">
        <v>38.0</v>
      </c>
      <c r="C772">
        <v>180.0</v>
      </c>
      <c r="D772">
        <v>3.0</v>
      </c>
      <c r="E772" t="str">
        <f t="shared" si="1"/>
        <v>6.266666667</v>
      </c>
      <c r="F772">
        <v>6.0</v>
      </c>
      <c r="G772">
        <v>3.0</v>
      </c>
      <c r="H772" t="str">
        <f t="shared" si="2"/>
        <v>18</v>
      </c>
      <c r="I772">
        <v>176.0</v>
      </c>
      <c r="J772" t="str">
        <f t="shared" si="3"/>
        <v>558.8</v>
      </c>
      <c r="K772" t="str">
        <f t="shared" si="4"/>
        <v>1469.644</v>
      </c>
      <c r="L772" t="str">
        <f t="shared" si="5"/>
        <v>8.164688889</v>
      </c>
      <c r="M772" t="str">
        <f t="shared" si="6"/>
        <v>263</v>
      </c>
      <c r="N772" t="s">
        <v>182</v>
      </c>
      <c r="O772" t="s">
        <v>1458</v>
      </c>
      <c r="P772" t="s">
        <v>1459</v>
      </c>
    </row>
    <row r="773" ht="15.75" customHeight="1">
      <c r="A773">
        <v>775.0</v>
      </c>
      <c r="B773">
        <v>32.0</v>
      </c>
      <c r="C773">
        <v>235.0</v>
      </c>
      <c r="D773">
        <v>3.0</v>
      </c>
      <c r="E773" t="str">
        <f t="shared" si="1"/>
        <v>7.8875</v>
      </c>
      <c r="F773">
        <v>7.0</v>
      </c>
      <c r="G773">
        <v>2.0</v>
      </c>
      <c r="H773" t="str">
        <f t="shared" si="2"/>
        <v>14</v>
      </c>
      <c r="I773">
        <v>153.0</v>
      </c>
      <c r="J773" t="str">
        <f t="shared" si="3"/>
        <v>485.775</v>
      </c>
      <c r="K773" t="str">
        <f t="shared" si="4"/>
        <v>1272.7305</v>
      </c>
      <c r="L773" t="str">
        <f t="shared" si="5"/>
        <v>9.090932143</v>
      </c>
      <c r="M773" t="str">
        <f t="shared" si="6"/>
        <v>262</v>
      </c>
      <c r="N773" t="s">
        <v>182</v>
      </c>
      <c r="O773" t="s">
        <v>1460</v>
      </c>
      <c r="P773" t="s">
        <v>1461</v>
      </c>
    </row>
    <row r="774" ht="15.75" customHeight="1">
      <c r="A774">
        <v>776.0</v>
      </c>
      <c r="B774">
        <v>230.0</v>
      </c>
      <c r="C774">
        <v>168.0</v>
      </c>
      <c r="D774">
        <v>3.0</v>
      </c>
      <c r="E774" t="str">
        <f t="shared" si="1"/>
        <v>3.45</v>
      </c>
      <c r="F774">
        <v>1.0</v>
      </c>
      <c r="G774">
        <v>2.0</v>
      </c>
      <c r="H774" t="str">
        <f t="shared" si="2"/>
        <v>2</v>
      </c>
      <c r="I774">
        <v>108.0</v>
      </c>
      <c r="J774" t="str">
        <f t="shared" si="3"/>
        <v>342.9</v>
      </c>
      <c r="K774" t="str">
        <f t="shared" si="4"/>
        <v>857.25</v>
      </c>
      <c r="L774" t="str">
        <f t="shared" si="5"/>
        <v>42.8625</v>
      </c>
      <c r="M774" t="str">
        <f t="shared" si="6"/>
        <v>250</v>
      </c>
      <c r="N774" t="s">
        <v>182</v>
      </c>
      <c r="O774" t="s">
        <v>1462</v>
      </c>
      <c r="P774" t="s">
        <v>1463</v>
      </c>
    </row>
    <row r="775" ht="15.75" customHeight="1">
      <c r="A775">
        <v>777.0</v>
      </c>
      <c r="B775">
        <v>230.0</v>
      </c>
      <c r="C775">
        <v>168.0</v>
      </c>
      <c r="D775">
        <v>3.0</v>
      </c>
      <c r="E775" t="str">
        <f t="shared" si="1"/>
        <v>3.45</v>
      </c>
      <c r="F775">
        <v>1.0</v>
      </c>
      <c r="G775">
        <v>2.0</v>
      </c>
      <c r="H775" t="str">
        <f t="shared" si="2"/>
        <v>2</v>
      </c>
      <c r="I775">
        <v>108.0</v>
      </c>
      <c r="J775" t="str">
        <f t="shared" si="3"/>
        <v>342.9</v>
      </c>
      <c r="K775" t="str">
        <f t="shared" si="4"/>
        <v>857.25</v>
      </c>
      <c r="L775" t="str">
        <f t="shared" si="5"/>
        <v>42.8625</v>
      </c>
      <c r="M775" t="str">
        <f t="shared" si="6"/>
        <v>250</v>
      </c>
      <c r="N775" t="s">
        <v>182</v>
      </c>
      <c r="O775" t="s">
        <v>1464</v>
      </c>
      <c r="P775" t="s">
        <v>1465</v>
      </c>
    </row>
    <row r="776" ht="15.75" customHeight="1">
      <c r="A776">
        <v>778.0</v>
      </c>
      <c r="B776">
        <v>240.0</v>
      </c>
      <c r="C776">
        <v>149.0</v>
      </c>
      <c r="D776">
        <v>3.0</v>
      </c>
      <c r="E776" t="str">
        <f t="shared" si="1"/>
        <v>3.4</v>
      </c>
      <c r="F776">
        <v>1.0</v>
      </c>
      <c r="G776">
        <v>2.0</v>
      </c>
      <c r="H776" t="str">
        <f t="shared" si="2"/>
        <v>2</v>
      </c>
      <c r="I776">
        <v>96.0</v>
      </c>
      <c r="J776" t="str">
        <f t="shared" si="3"/>
        <v>304.8</v>
      </c>
      <c r="K776" t="str">
        <f t="shared" si="4"/>
        <v>792.48</v>
      </c>
      <c r="L776" t="str">
        <f t="shared" si="5"/>
        <v>39.624</v>
      </c>
      <c r="M776" t="str">
        <f t="shared" si="6"/>
        <v>260</v>
      </c>
      <c r="N776" t="s">
        <v>182</v>
      </c>
      <c r="O776" t="s">
        <v>1466</v>
      </c>
      <c r="P776" t="s">
        <v>1467</v>
      </c>
    </row>
    <row r="777" ht="15.75" customHeight="1">
      <c r="A777">
        <v>779.0</v>
      </c>
      <c r="B777">
        <v>240.0</v>
      </c>
      <c r="C777">
        <v>149.0</v>
      </c>
      <c r="D777">
        <v>3.0</v>
      </c>
      <c r="E777" t="str">
        <f t="shared" si="1"/>
        <v>3.4</v>
      </c>
      <c r="F777">
        <v>1.0</v>
      </c>
      <c r="G777">
        <v>2.0</v>
      </c>
      <c r="H777" t="str">
        <f t="shared" si="2"/>
        <v>2</v>
      </c>
      <c r="I777">
        <v>96.0</v>
      </c>
      <c r="J777" t="str">
        <f t="shared" si="3"/>
        <v>304.8</v>
      </c>
      <c r="K777" t="str">
        <f t="shared" si="4"/>
        <v>792.48</v>
      </c>
      <c r="L777" t="str">
        <f t="shared" si="5"/>
        <v>39.624</v>
      </c>
      <c r="M777" t="str">
        <f t="shared" si="6"/>
        <v>260</v>
      </c>
      <c r="N777" t="s">
        <v>182</v>
      </c>
      <c r="O777" t="s">
        <v>1468</v>
      </c>
      <c r="P777" t="s">
        <v>1469</v>
      </c>
    </row>
    <row r="778" ht="15.75" customHeight="1">
      <c r="A778">
        <v>780.0</v>
      </c>
      <c r="B778">
        <v>180.0</v>
      </c>
      <c r="C778">
        <v>59.0</v>
      </c>
      <c r="D778">
        <v>3.0</v>
      </c>
      <c r="E778" t="str">
        <f t="shared" si="1"/>
        <v>3.23</v>
      </c>
      <c r="F778">
        <v>2.0</v>
      </c>
      <c r="G778">
        <v>5.0</v>
      </c>
      <c r="H778" t="str">
        <f t="shared" si="2"/>
        <v>10</v>
      </c>
      <c r="I778">
        <v>98.0</v>
      </c>
      <c r="J778" t="str">
        <f t="shared" si="3"/>
        <v>311.15</v>
      </c>
      <c r="K778" t="str">
        <f t="shared" si="4"/>
        <v>1191.7045</v>
      </c>
      <c r="L778" t="str">
        <f t="shared" si="5"/>
        <v>11.917045</v>
      </c>
      <c r="M778" t="str">
        <f t="shared" si="6"/>
        <v>383</v>
      </c>
      <c r="N778" t="s">
        <v>182</v>
      </c>
      <c r="O778" t="s">
        <v>1470</v>
      </c>
      <c r="P778" t="s">
        <v>1471</v>
      </c>
    </row>
    <row r="779" ht="15.75" customHeight="1">
      <c r="A779">
        <v>781.0</v>
      </c>
      <c r="B779">
        <v>140.0</v>
      </c>
      <c r="C779">
        <v>70.0</v>
      </c>
      <c r="D779">
        <v>3.0</v>
      </c>
      <c r="E779" t="str">
        <f t="shared" si="1"/>
        <v>4.839285714</v>
      </c>
      <c r="F779">
        <v>2.0</v>
      </c>
      <c r="G779">
        <v>7.0</v>
      </c>
      <c r="H779" t="str">
        <f t="shared" si="2"/>
        <v>14</v>
      </c>
      <c r="I779">
        <v>165.0</v>
      </c>
      <c r="J779" t="str">
        <f t="shared" si="3"/>
        <v>523.875</v>
      </c>
      <c r="K779" t="str">
        <f t="shared" si="4"/>
        <v>1587.34125</v>
      </c>
      <c r="L779" t="str">
        <f t="shared" si="5"/>
        <v>11.33815179</v>
      </c>
      <c r="M779" t="str">
        <f t="shared" si="6"/>
        <v>303</v>
      </c>
      <c r="N779" t="s">
        <v>182</v>
      </c>
      <c r="O779" t="s">
        <v>1472</v>
      </c>
      <c r="P779" t="s">
        <v>1434</v>
      </c>
    </row>
    <row r="780" ht="15.75" customHeight="1">
      <c r="A780">
        <v>782.0</v>
      </c>
      <c r="B780">
        <v>150.0</v>
      </c>
      <c r="C780">
        <v>197.0</v>
      </c>
      <c r="D780">
        <v>3.0</v>
      </c>
      <c r="E780" t="str">
        <f t="shared" si="1"/>
        <v>3.025</v>
      </c>
      <c r="F780">
        <v>2.0</v>
      </c>
      <c r="G780">
        <v>2.0</v>
      </c>
      <c r="H780" t="str">
        <f t="shared" si="2"/>
        <v>4</v>
      </c>
      <c r="I780">
        <v>126.0</v>
      </c>
      <c r="J780" t="str">
        <f t="shared" si="3"/>
        <v>400.05</v>
      </c>
      <c r="K780" t="str">
        <f t="shared" si="4"/>
        <v>1292.1615</v>
      </c>
      <c r="L780" t="str">
        <f t="shared" si="5"/>
        <v>32.3040375</v>
      </c>
      <c r="M780" t="str">
        <f t="shared" si="6"/>
        <v>323</v>
      </c>
      <c r="N780" t="s">
        <v>182</v>
      </c>
      <c r="O780" t="s">
        <v>1473</v>
      </c>
      <c r="P780" t="s">
        <v>1474</v>
      </c>
    </row>
    <row r="781" ht="15.75" customHeight="1">
      <c r="A781">
        <v>783.0</v>
      </c>
      <c r="B781">
        <v>230.0</v>
      </c>
      <c r="C781">
        <v>145.0</v>
      </c>
      <c r="D781">
        <v>3.0</v>
      </c>
      <c r="E781" t="str">
        <f t="shared" si="1"/>
        <v>6.341666667</v>
      </c>
      <c r="F781">
        <v>1.0</v>
      </c>
      <c r="G781">
        <v>3.0</v>
      </c>
      <c r="H781" t="str">
        <f t="shared" si="2"/>
        <v>3</v>
      </c>
      <c r="I781">
        <v>143.0</v>
      </c>
      <c r="J781" t="str">
        <f t="shared" si="3"/>
        <v>454.025</v>
      </c>
      <c r="K781" t="str">
        <f t="shared" si="4"/>
        <v>1135.0625</v>
      </c>
      <c r="L781" t="str">
        <f t="shared" si="5"/>
        <v>37.83541667</v>
      </c>
      <c r="M781" t="str">
        <f t="shared" si="6"/>
        <v>250</v>
      </c>
      <c r="N781" t="s">
        <v>182</v>
      </c>
      <c r="O781" t="s">
        <v>1475</v>
      </c>
      <c r="P781" t="s">
        <v>1476</v>
      </c>
    </row>
    <row r="782" ht="15.75" customHeight="1">
      <c r="A782">
        <v>784.0</v>
      </c>
      <c r="B782">
        <v>230.0</v>
      </c>
      <c r="C782">
        <v>145.0</v>
      </c>
      <c r="D782">
        <v>3.0</v>
      </c>
      <c r="E782" t="str">
        <f t="shared" si="1"/>
        <v>6.341666667</v>
      </c>
      <c r="F782">
        <v>1.0</v>
      </c>
      <c r="G782">
        <v>3.0</v>
      </c>
      <c r="H782" t="str">
        <f t="shared" si="2"/>
        <v>3</v>
      </c>
      <c r="I782">
        <v>143.0</v>
      </c>
      <c r="J782" t="str">
        <f t="shared" si="3"/>
        <v>454.025</v>
      </c>
      <c r="K782" t="str">
        <f t="shared" si="4"/>
        <v>1135.0625</v>
      </c>
      <c r="L782" t="str">
        <f t="shared" si="5"/>
        <v>37.83541667</v>
      </c>
      <c r="M782" t="str">
        <f t="shared" si="6"/>
        <v>250</v>
      </c>
      <c r="N782" t="s">
        <v>182</v>
      </c>
      <c r="O782" t="s">
        <v>1477</v>
      </c>
      <c r="P782" t="s">
        <v>1478</v>
      </c>
    </row>
    <row r="783" ht="15.75" customHeight="1">
      <c r="A783">
        <v>785.0</v>
      </c>
      <c r="B783">
        <v>343.0</v>
      </c>
      <c r="C783">
        <v>65.0</v>
      </c>
      <c r="D783">
        <v>3.0</v>
      </c>
      <c r="E783" t="str">
        <f t="shared" si="1"/>
        <v>3.58</v>
      </c>
      <c r="F783">
        <v>1.0</v>
      </c>
      <c r="G783">
        <v>5.0</v>
      </c>
      <c r="H783" t="str">
        <f t="shared" si="2"/>
        <v>5</v>
      </c>
      <c r="I783">
        <v>108.0</v>
      </c>
      <c r="J783" t="str">
        <f t="shared" si="3"/>
        <v>342.9</v>
      </c>
      <c r="K783" t="str">
        <f t="shared" si="4"/>
        <v>1244.727</v>
      </c>
      <c r="L783" t="str">
        <f t="shared" si="5"/>
        <v>24.89454</v>
      </c>
      <c r="M783" t="str">
        <f t="shared" si="6"/>
        <v>363</v>
      </c>
      <c r="N783" t="s">
        <v>182</v>
      </c>
      <c r="O783" t="s">
        <v>1479</v>
      </c>
      <c r="P783" t="s">
        <v>1480</v>
      </c>
    </row>
    <row r="784" ht="15.75" customHeight="1">
      <c r="A784">
        <v>786.0</v>
      </c>
      <c r="B784">
        <v>343.0</v>
      </c>
      <c r="C784">
        <v>135.0</v>
      </c>
      <c r="D784">
        <v>3.0</v>
      </c>
      <c r="E784" t="str">
        <f t="shared" si="1"/>
        <v>4.7</v>
      </c>
      <c r="F784">
        <v>2.0</v>
      </c>
      <c r="G784">
        <v>4.0</v>
      </c>
      <c r="H784" t="str">
        <f t="shared" si="2"/>
        <v>8</v>
      </c>
      <c r="I784">
        <v>176.0</v>
      </c>
      <c r="J784" t="str">
        <f t="shared" si="3"/>
        <v>558.8</v>
      </c>
      <c r="K784" t="str">
        <f t="shared" si="4"/>
        <v>3961.892</v>
      </c>
      <c r="L784" t="str">
        <f t="shared" si="5"/>
        <v>49.52365</v>
      </c>
      <c r="M784" t="str">
        <f t="shared" si="6"/>
        <v>709</v>
      </c>
      <c r="N784" t="s">
        <v>182</v>
      </c>
      <c r="O784" t="s">
        <v>1481</v>
      </c>
      <c r="P784" t="s">
        <v>1482</v>
      </c>
    </row>
    <row r="785" ht="15.75" customHeight="1">
      <c r="A785">
        <v>787.0</v>
      </c>
      <c r="B785">
        <v>70.0</v>
      </c>
      <c r="C785">
        <v>102.0</v>
      </c>
      <c r="D785">
        <v>3.0</v>
      </c>
      <c r="E785" t="str">
        <f t="shared" si="1"/>
        <v>5.15625</v>
      </c>
      <c r="F785">
        <v>4.0</v>
      </c>
      <c r="G785">
        <v>4.0</v>
      </c>
      <c r="H785" t="str">
        <f t="shared" si="2"/>
        <v>16</v>
      </c>
      <c r="I785">
        <v>135.0</v>
      </c>
      <c r="J785" t="str">
        <f t="shared" si="3"/>
        <v>428.625</v>
      </c>
      <c r="K785" t="str">
        <f t="shared" si="4"/>
        <v>1324.45125</v>
      </c>
      <c r="L785" t="str">
        <f t="shared" si="5"/>
        <v>8.277820313</v>
      </c>
      <c r="M785" t="str">
        <f t="shared" si="6"/>
        <v>309</v>
      </c>
      <c r="N785" t="s">
        <v>182</v>
      </c>
      <c r="O785" t="s">
        <v>1483</v>
      </c>
      <c r="P785" t="s">
        <v>1484</v>
      </c>
    </row>
    <row r="786" ht="15.75" customHeight="1">
      <c r="A786">
        <v>788.0</v>
      </c>
      <c r="B786">
        <v>70.0</v>
      </c>
      <c r="C786">
        <v>50.0</v>
      </c>
      <c r="D786">
        <v>3.0</v>
      </c>
      <c r="E786" t="str">
        <f t="shared" si="1"/>
        <v>3.578125</v>
      </c>
      <c r="F786">
        <v>5.0</v>
      </c>
      <c r="G786">
        <v>8.0</v>
      </c>
      <c r="H786" t="str">
        <f t="shared" si="2"/>
        <v>40</v>
      </c>
      <c r="I786">
        <v>135.0</v>
      </c>
      <c r="J786" t="str">
        <f t="shared" si="3"/>
        <v>428.625</v>
      </c>
      <c r="K786" t="str">
        <f t="shared" si="4"/>
        <v>1637.3475</v>
      </c>
      <c r="L786" t="str">
        <f t="shared" si="5"/>
        <v>4.09336875</v>
      </c>
      <c r="M786" t="str">
        <f t="shared" si="6"/>
        <v>382</v>
      </c>
      <c r="N786" t="s">
        <v>182</v>
      </c>
      <c r="O786" t="s">
        <v>1485</v>
      </c>
      <c r="P786" t="s">
        <v>1486</v>
      </c>
    </row>
    <row r="787" ht="15.75" customHeight="1">
      <c r="A787">
        <v>789.0</v>
      </c>
      <c r="B787">
        <v>68.0</v>
      </c>
      <c r="C787">
        <v>79.0</v>
      </c>
      <c r="D787">
        <v>3.0</v>
      </c>
      <c r="E787" t="str">
        <f t="shared" si="1"/>
        <v>4.34375</v>
      </c>
      <c r="F787">
        <v>4.0</v>
      </c>
      <c r="G787">
        <v>4.0</v>
      </c>
      <c r="H787" t="str">
        <f t="shared" si="2"/>
        <v>16</v>
      </c>
      <c r="I787">
        <v>105.0</v>
      </c>
      <c r="J787" t="str">
        <f t="shared" si="3"/>
        <v>333.375</v>
      </c>
      <c r="K787" t="str">
        <f t="shared" si="4"/>
        <v>1003.45875</v>
      </c>
      <c r="L787" t="str">
        <f t="shared" si="5"/>
        <v>6.271617188</v>
      </c>
      <c r="M787" t="str">
        <f t="shared" si="6"/>
        <v>301</v>
      </c>
      <c r="N787" t="s">
        <v>182</v>
      </c>
      <c r="O787" t="s">
        <v>1487</v>
      </c>
      <c r="P787" s="126" t="s">
        <v>1488</v>
      </c>
    </row>
    <row r="788" ht="15.75" customHeight="1">
      <c r="A788">
        <v>790.0</v>
      </c>
      <c r="B788">
        <v>15.0</v>
      </c>
      <c r="C788">
        <v>35.0</v>
      </c>
      <c r="D788">
        <v>3.0</v>
      </c>
      <c r="E788" t="str">
        <f t="shared" si="1"/>
        <v>3.1</v>
      </c>
      <c r="F788">
        <v>10.0</v>
      </c>
      <c r="G788">
        <v>8.0</v>
      </c>
      <c r="H788" t="str">
        <f t="shared" si="2"/>
        <v>80</v>
      </c>
      <c r="I788">
        <v>96.0</v>
      </c>
      <c r="J788" t="str">
        <f t="shared" si="3"/>
        <v>304.8</v>
      </c>
      <c r="K788" t="str">
        <f t="shared" si="4"/>
        <v>600.456</v>
      </c>
      <c r="L788" t="str">
        <f t="shared" si="5"/>
        <v>0.75057</v>
      </c>
      <c r="M788" t="str">
        <f t="shared" si="6"/>
        <v>197</v>
      </c>
      <c r="N788" t="s">
        <v>182</v>
      </c>
      <c r="O788" t="s">
        <v>1489</v>
      </c>
      <c r="P788" t="s">
        <v>1395</v>
      </c>
    </row>
    <row r="789" ht="15.75" customHeight="1">
      <c r="A789">
        <v>791.0</v>
      </c>
      <c r="B789">
        <v>120.0</v>
      </c>
      <c r="C789">
        <v>155.0</v>
      </c>
      <c r="D789">
        <v>3.0</v>
      </c>
      <c r="E789" t="str">
        <f t="shared" si="1"/>
        <v>6.925</v>
      </c>
      <c r="F789">
        <v>3.0</v>
      </c>
      <c r="G789">
        <v>2.0</v>
      </c>
      <c r="H789" t="str">
        <f t="shared" si="2"/>
        <v>6</v>
      </c>
      <c r="I789">
        <v>102.0</v>
      </c>
      <c r="J789" t="str">
        <f t="shared" si="3"/>
        <v>323.85</v>
      </c>
      <c r="K789" t="str">
        <f t="shared" si="4"/>
        <v>1250.061</v>
      </c>
      <c r="L789" t="str">
        <f t="shared" si="5"/>
        <v>20.83435</v>
      </c>
      <c r="M789" t="str">
        <f t="shared" si="6"/>
        <v>386</v>
      </c>
      <c r="N789" t="s">
        <v>187</v>
      </c>
      <c r="O789" t="s">
        <v>1490</v>
      </c>
      <c r="P789" t="s">
        <v>1491</v>
      </c>
    </row>
    <row r="790" ht="15.75" customHeight="1">
      <c r="A790">
        <v>792.0</v>
      </c>
      <c r="B790">
        <v>128.0</v>
      </c>
      <c r="C790">
        <v>17.0</v>
      </c>
      <c r="D790">
        <v>3.0</v>
      </c>
      <c r="E790" t="str">
        <f t="shared" si="1"/>
        <v>3.32</v>
      </c>
      <c r="F790">
        <v>1.0</v>
      </c>
      <c r="G790">
        <v>15.0</v>
      </c>
      <c r="H790" t="str">
        <f t="shared" si="2"/>
        <v>15</v>
      </c>
      <c r="I790">
        <v>96.0</v>
      </c>
      <c r="J790" t="str">
        <f t="shared" si="3"/>
        <v>304.8</v>
      </c>
      <c r="K790" t="str">
        <f t="shared" si="4"/>
        <v>451.104</v>
      </c>
      <c r="L790" t="str">
        <f t="shared" si="5"/>
        <v>3.00736</v>
      </c>
      <c r="M790" t="str">
        <f t="shared" si="6"/>
        <v>148</v>
      </c>
      <c r="N790" t="s">
        <v>182</v>
      </c>
      <c r="O790" t="s">
        <v>1492</v>
      </c>
      <c r="P790" t="s">
        <v>1493</v>
      </c>
    </row>
    <row r="791" ht="15.75" customHeight="1">
      <c r="A791">
        <v>793.0</v>
      </c>
      <c r="B791">
        <v>94.5</v>
      </c>
      <c r="C791">
        <v>55.0</v>
      </c>
      <c r="D791">
        <v>4.0</v>
      </c>
      <c r="E791" t="str">
        <f t="shared" si="1"/>
        <v>3.208333333</v>
      </c>
      <c r="F791">
        <v>4.0</v>
      </c>
      <c r="G791">
        <v>9.0</v>
      </c>
      <c r="H791" t="str">
        <f t="shared" si="2"/>
        <v>36</v>
      </c>
      <c r="I791">
        <v>165.0</v>
      </c>
      <c r="J791" t="str">
        <f t="shared" si="3"/>
        <v>523.875</v>
      </c>
      <c r="K791" t="str">
        <f t="shared" si="4"/>
        <v>2153.12625</v>
      </c>
      <c r="L791" t="str">
        <f t="shared" si="5"/>
        <v>5.98090625</v>
      </c>
      <c r="M791" t="str">
        <f t="shared" si="6"/>
        <v>411</v>
      </c>
      <c r="N791" t="s">
        <v>182</v>
      </c>
      <c r="O791" t="s">
        <v>1494</v>
      </c>
      <c r="P791" t="s">
        <v>1495</v>
      </c>
    </row>
    <row r="792" ht="15.75" customHeight="1">
      <c r="A792">
        <v>794.0</v>
      </c>
      <c r="B792">
        <v>120.0</v>
      </c>
      <c r="C792">
        <v>59.0</v>
      </c>
      <c r="D792">
        <v>3.0</v>
      </c>
      <c r="E792" t="str">
        <f t="shared" si="1"/>
        <v>3.23</v>
      </c>
      <c r="F792">
        <v>3.0</v>
      </c>
      <c r="G792">
        <v>5.0</v>
      </c>
      <c r="H792" t="str">
        <f t="shared" si="2"/>
        <v>15</v>
      </c>
      <c r="I792">
        <v>98.0</v>
      </c>
      <c r="J792" t="str">
        <f t="shared" si="3"/>
        <v>311.15</v>
      </c>
      <c r="K792" t="str">
        <f t="shared" si="4"/>
        <v>1201.039</v>
      </c>
      <c r="L792" t="str">
        <f t="shared" si="5"/>
        <v>8.006926667</v>
      </c>
      <c r="M792" t="str">
        <f t="shared" si="6"/>
        <v>386</v>
      </c>
      <c r="N792" t="s">
        <v>182</v>
      </c>
      <c r="O792" t="s">
        <v>1496</v>
      </c>
      <c r="P792" t="s">
        <v>1497</v>
      </c>
    </row>
    <row r="793" ht="15.75" customHeight="1">
      <c r="A793">
        <v>795.0</v>
      </c>
      <c r="B793">
        <v>139.7</v>
      </c>
      <c r="C793">
        <v>66.85</v>
      </c>
      <c r="D793">
        <v>4.0</v>
      </c>
      <c r="E793" t="str">
        <f t="shared" si="1"/>
        <v>3</v>
      </c>
      <c r="F793">
        <v>2.0</v>
      </c>
      <c r="G793">
        <v>8.0</v>
      </c>
      <c r="H793" t="str">
        <f t="shared" si="2"/>
        <v>16</v>
      </c>
      <c r="I793">
        <v>176.0</v>
      </c>
      <c r="J793" t="str">
        <f t="shared" si="3"/>
        <v>558.8</v>
      </c>
      <c r="K793" t="str">
        <f t="shared" si="4"/>
        <v>1700.9872</v>
      </c>
      <c r="L793" t="str">
        <f t="shared" si="5"/>
        <v>10.63117</v>
      </c>
      <c r="M793" t="str">
        <f t="shared" si="6"/>
        <v>304.4</v>
      </c>
      <c r="N793" t="s">
        <v>182</v>
      </c>
      <c r="O793" t="s">
        <v>1498</v>
      </c>
      <c r="P793" t="s">
        <v>1499</v>
      </c>
    </row>
    <row r="794" ht="15.75" customHeight="1">
      <c r="A794">
        <v>796.0</v>
      </c>
      <c r="B794">
        <v>121.0</v>
      </c>
      <c r="C794">
        <v>66.85</v>
      </c>
      <c r="D794">
        <v>4.0</v>
      </c>
      <c r="E794" t="str">
        <f t="shared" si="1"/>
        <v>3</v>
      </c>
      <c r="F794">
        <v>3.0</v>
      </c>
      <c r="G794">
        <v>8.0</v>
      </c>
      <c r="H794" t="str">
        <f t="shared" si="2"/>
        <v>24</v>
      </c>
      <c r="I794">
        <v>176.0</v>
      </c>
      <c r="J794" t="str">
        <f t="shared" si="3"/>
        <v>558.8</v>
      </c>
      <c r="K794" t="str">
        <f t="shared" si="4"/>
        <v>2190.496</v>
      </c>
      <c r="L794" t="str">
        <f t="shared" si="5"/>
        <v>9.127066667</v>
      </c>
      <c r="M794" t="str">
        <f t="shared" si="6"/>
        <v>392</v>
      </c>
      <c r="N794" t="s">
        <v>182</v>
      </c>
      <c r="O794" t="s">
        <v>1500</v>
      </c>
      <c r="P794" t="s">
        <v>1501</v>
      </c>
    </row>
    <row r="795" ht="15.75" customHeight="1">
      <c r="A795">
        <v>797.0</v>
      </c>
      <c r="B795">
        <v>106.0</v>
      </c>
      <c r="C795">
        <v>56.0</v>
      </c>
      <c r="D795">
        <v>3.0</v>
      </c>
      <c r="E795" t="str">
        <f t="shared" si="1"/>
        <v>4.96</v>
      </c>
      <c r="F795">
        <v>3.0</v>
      </c>
      <c r="G795">
        <v>5.0</v>
      </c>
      <c r="H795" t="str">
        <f t="shared" si="2"/>
        <v>15</v>
      </c>
      <c r="I795">
        <v>96.0</v>
      </c>
      <c r="J795" t="str">
        <f t="shared" si="3"/>
        <v>304.8</v>
      </c>
      <c r="K795" t="str">
        <f t="shared" si="4"/>
        <v>1048.512</v>
      </c>
      <c r="L795" t="str">
        <f t="shared" si="5"/>
        <v>6.99008</v>
      </c>
      <c r="M795" t="str">
        <f t="shared" si="6"/>
        <v>344</v>
      </c>
      <c r="N795" t="s">
        <v>182</v>
      </c>
      <c r="O795" t="s">
        <v>1502</v>
      </c>
      <c r="P795" t="s">
        <v>1503</v>
      </c>
    </row>
    <row r="796" ht="15.75" customHeight="1">
      <c r="A796">
        <v>798.0</v>
      </c>
      <c r="B796">
        <v>134.0</v>
      </c>
      <c r="C796">
        <v>82.0</v>
      </c>
      <c r="D796">
        <v>5.0</v>
      </c>
      <c r="E796" t="str">
        <f t="shared" si="1"/>
        <v>3.725</v>
      </c>
      <c r="F796">
        <v>3.0</v>
      </c>
      <c r="G796">
        <v>4.0</v>
      </c>
      <c r="H796" t="str">
        <f t="shared" si="2"/>
        <v>12</v>
      </c>
      <c r="I796">
        <v>108.0</v>
      </c>
      <c r="J796" t="str">
        <f t="shared" si="3"/>
        <v>342.9</v>
      </c>
      <c r="K796" t="str">
        <f t="shared" si="4"/>
        <v>1488.186</v>
      </c>
      <c r="L796" t="str">
        <f t="shared" si="5"/>
        <v>12.40155</v>
      </c>
      <c r="M796" t="str">
        <f t="shared" si="6"/>
        <v>434</v>
      </c>
      <c r="N796" t="s">
        <v>182</v>
      </c>
      <c r="O796" t="s">
        <v>1504</v>
      </c>
      <c r="P796" t="s">
        <v>937</v>
      </c>
    </row>
    <row r="797" ht="15.75" customHeight="1">
      <c r="A797">
        <v>799.0</v>
      </c>
      <c r="B797">
        <v>77.0</v>
      </c>
      <c r="C797">
        <v>31.7</v>
      </c>
      <c r="D797">
        <v>3.0</v>
      </c>
      <c r="E797" t="str">
        <f t="shared" si="1"/>
        <v>2.936363636</v>
      </c>
      <c r="F797">
        <v>4.0</v>
      </c>
      <c r="G797">
        <v>11.0</v>
      </c>
      <c r="H797" t="str">
        <f t="shared" si="2"/>
        <v>44</v>
      </c>
      <c r="I797">
        <v>120.0</v>
      </c>
      <c r="J797" t="str">
        <f t="shared" si="3"/>
        <v>381</v>
      </c>
      <c r="K797" t="str">
        <f t="shared" si="4"/>
        <v>1283.97</v>
      </c>
      <c r="L797" t="str">
        <f t="shared" si="5"/>
        <v>2.918113636</v>
      </c>
      <c r="M797" t="str">
        <f t="shared" si="6"/>
        <v>337</v>
      </c>
      <c r="N797" t="s">
        <v>182</v>
      </c>
      <c r="O797" t="s">
        <v>1505</v>
      </c>
      <c r="P797" s="126" t="s">
        <v>1506</v>
      </c>
    </row>
    <row r="798" ht="15.75" customHeight="1">
      <c r="A798">
        <v>800.0</v>
      </c>
      <c r="B798">
        <v>20.0</v>
      </c>
      <c r="C798">
        <v>40.0</v>
      </c>
      <c r="D798">
        <v>3.0</v>
      </c>
      <c r="E798" t="str">
        <f t="shared" si="1"/>
        <v>3.542857143</v>
      </c>
      <c r="F798">
        <v>8.0</v>
      </c>
      <c r="G798">
        <v>7.0</v>
      </c>
      <c r="H798" t="str">
        <f t="shared" si="2"/>
        <v>56</v>
      </c>
      <c r="I798">
        <v>96.0</v>
      </c>
      <c r="J798" t="str">
        <f t="shared" si="3"/>
        <v>304.8</v>
      </c>
      <c r="K798" t="str">
        <f t="shared" si="4"/>
        <v>612.648</v>
      </c>
      <c r="L798" t="str">
        <f t="shared" si="5"/>
        <v>1.094014286</v>
      </c>
      <c r="M798" t="str">
        <f t="shared" si="6"/>
        <v>201</v>
      </c>
      <c r="N798" t="s">
        <v>182</v>
      </c>
      <c r="O798" t="s">
        <v>1507</v>
      </c>
      <c r="P798" t="s">
        <v>1508</v>
      </c>
    </row>
    <row r="799" ht="15.75" customHeight="1">
      <c r="A799">
        <v>801.0</v>
      </c>
      <c r="B799">
        <v>140.0</v>
      </c>
      <c r="C799">
        <v>64.5</v>
      </c>
      <c r="D799">
        <v>3.0</v>
      </c>
      <c r="E799" t="str">
        <f t="shared" si="1"/>
        <v>4.896428571</v>
      </c>
      <c r="F799">
        <v>2.0</v>
      </c>
      <c r="G799">
        <v>7.0</v>
      </c>
      <c r="H799" t="str">
        <f t="shared" si="2"/>
        <v>14</v>
      </c>
      <c r="I799">
        <v>153.0</v>
      </c>
      <c r="J799" t="str">
        <f t="shared" si="3"/>
        <v>485.775</v>
      </c>
      <c r="K799" t="str">
        <f t="shared" si="4"/>
        <v>1471.89825</v>
      </c>
      <c r="L799" t="str">
        <f t="shared" si="5"/>
        <v>10.51355893</v>
      </c>
      <c r="M799" t="str">
        <f t="shared" si="6"/>
        <v>303</v>
      </c>
      <c r="N799" t="s">
        <v>187</v>
      </c>
      <c r="O799" t="s">
        <v>1509</v>
      </c>
      <c r="P799" t="s">
        <v>1510</v>
      </c>
    </row>
    <row r="800" ht="15.75" customHeight="1">
      <c r="A800">
        <v>802.0</v>
      </c>
      <c r="B800">
        <v>140.0</v>
      </c>
      <c r="C800">
        <v>64.5</v>
      </c>
      <c r="D800">
        <v>3.0</v>
      </c>
      <c r="E800" t="str">
        <f t="shared" si="1"/>
        <v>4.896428571</v>
      </c>
      <c r="F800">
        <v>2.0</v>
      </c>
      <c r="G800">
        <v>7.0</v>
      </c>
      <c r="H800" t="str">
        <f t="shared" si="2"/>
        <v>14</v>
      </c>
      <c r="I800">
        <v>153.0</v>
      </c>
      <c r="J800" t="str">
        <f t="shared" si="3"/>
        <v>485.775</v>
      </c>
      <c r="K800" t="str">
        <f t="shared" si="4"/>
        <v>1471.89825</v>
      </c>
      <c r="L800" t="str">
        <f t="shared" si="5"/>
        <v>10.51355893</v>
      </c>
      <c r="M800" t="str">
        <f t="shared" si="6"/>
        <v>303</v>
      </c>
      <c r="N800" t="s">
        <v>187</v>
      </c>
      <c r="O800" t="s">
        <v>1511</v>
      </c>
      <c r="P800" t="s">
        <v>1512</v>
      </c>
    </row>
    <row r="801" ht="15.75" customHeight="1">
      <c r="A801">
        <v>803.0</v>
      </c>
      <c r="B801">
        <v>105.0</v>
      </c>
      <c r="C801">
        <v>53.0</v>
      </c>
      <c r="D801">
        <v>3.0</v>
      </c>
      <c r="E801" t="str">
        <f t="shared" si="1"/>
        <v>3.753125</v>
      </c>
      <c r="F801">
        <v>2.0</v>
      </c>
      <c r="G801">
        <v>8.0</v>
      </c>
      <c r="H801" t="str">
        <f t="shared" si="2"/>
        <v>16</v>
      </c>
      <c r="I801">
        <v>143.0</v>
      </c>
      <c r="J801" t="str">
        <f t="shared" si="3"/>
        <v>454.025</v>
      </c>
      <c r="K801" t="str">
        <f t="shared" si="4"/>
        <v>1057.87825</v>
      </c>
      <c r="L801" t="str">
        <f t="shared" si="5"/>
        <v>6.611739063</v>
      </c>
      <c r="M801" t="str">
        <f t="shared" si="6"/>
        <v>233</v>
      </c>
      <c r="N801" t="s">
        <v>187</v>
      </c>
      <c r="O801" t="s">
        <v>1513</v>
      </c>
      <c r="P801" t="s">
        <v>1514</v>
      </c>
    </row>
    <row r="802" ht="15.75" customHeight="1">
      <c r="A802">
        <v>804.0</v>
      </c>
      <c r="B802">
        <v>105.0</v>
      </c>
      <c r="C802">
        <v>53.0</v>
      </c>
      <c r="D802">
        <v>3.0</v>
      </c>
      <c r="E802" t="str">
        <f t="shared" si="1"/>
        <v>3.753125</v>
      </c>
      <c r="F802">
        <v>2.0</v>
      </c>
      <c r="G802">
        <v>8.0</v>
      </c>
      <c r="H802" t="str">
        <f t="shared" si="2"/>
        <v>16</v>
      </c>
      <c r="I802">
        <v>143.0</v>
      </c>
      <c r="J802" t="str">
        <f t="shared" si="3"/>
        <v>454.025</v>
      </c>
      <c r="K802" t="str">
        <f t="shared" si="4"/>
        <v>1057.87825</v>
      </c>
      <c r="L802" t="str">
        <f t="shared" si="5"/>
        <v>6.611739063</v>
      </c>
      <c r="M802" t="str">
        <f t="shared" si="6"/>
        <v>233</v>
      </c>
      <c r="N802" t="s">
        <v>187</v>
      </c>
      <c r="O802" t="s">
        <v>1515</v>
      </c>
      <c r="P802" t="s">
        <v>1516</v>
      </c>
    </row>
    <row r="803" ht="15.75" customHeight="1">
      <c r="A803">
        <v>805.0</v>
      </c>
      <c r="B803">
        <v>175.0</v>
      </c>
      <c r="C803">
        <v>312.0</v>
      </c>
      <c r="D803">
        <v>3.0</v>
      </c>
      <c r="E803" t="str">
        <f t="shared" si="1"/>
        <v>11.85</v>
      </c>
      <c r="F803">
        <v>2.0</v>
      </c>
      <c r="G803">
        <v>1.0</v>
      </c>
      <c r="H803" t="str">
        <f t="shared" si="2"/>
        <v>2</v>
      </c>
      <c r="I803">
        <v>102.0</v>
      </c>
      <c r="J803" t="str">
        <f t="shared" si="3"/>
        <v>323.85</v>
      </c>
      <c r="K803" t="str">
        <f t="shared" si="4"/>
        <v>1207.9605</v>
      </c>
      <c r="L803" t="str">
        <f t="shared" si="5"/>
        <v>60.398025</v>
      </c>
      <c r="M803" t="str">
        <f t="shared" si="6"/>
        <v>373</v>
      </c>
      <c r="N803" t="s">
        <v>182</v>
      </c>
      <c r="O803" t="s">
        <v>1517</v>
      </c>
      <c r="P803" t="s">
        <v>1518</v>
      </c>
    </row>
    <row r="804" ht="15.75" customHeight="1">
      <c r="A804">
        <v>806.0</v>
      </c>
      <c r="B804">
        <v>236.0</v>
      </c>
      <c r="C804">
        <v>79.0</v>
      </c>
      <c r="D804">
        <v>4.0</v>
      </c>
      <c r="E804" t="str">
        <f t="shared" si="1"/>
        <v>4.34375</v>
      </c>
      <c r="F804">
        <v>1.0</v>
      </c>
      <c r="G804">
        <v>4.0</v>
      </c>
      <c r="H804" t="str">
        <f t="shared" si="2"/>
        <v>4</v>
      </c>
      <c r="I804">
        <v>105.0</v>
      </c>
      <c r="J804" t="str">
        <f t="shared" si="3"/>
        <v>333.375</v>
      </c>
      <c r="K804" t="str">
        <f t="shared" si="4"/>
        <v>856.77375</v>
      </c>
      <c r="L804" t="str">
        <f t="shared" si="5"/>
        <v>21.41934375</v>
      </c>
      <c r="M804" t="str">
        <f t="shared" si="6"/>
        <v>257</v>
      </c>
      <c r="N804" t="s">
        <v>187</v>
      </c>
      <c r="O804" t="s">
        <v>1519</v>
      </c>
      <c r="P804" t="s">
        <v>1520</v>
      </c>
    </row>
    <row r="805" ht="15.75" customHeight="1">
      <c r="A805">
        <v>807.0</v>
      </c>
      <c r="B805">
        <v>93.0</v>
      </c>
      <c r="C805">
        <v>312.0</v>
      </c>
      <c r="D805">
        <v>3.0</v>
      </c>
      <c r="E805" t="str">
        <f t="shared" si="1"/>
        <v>11.85</v>
      </c>
      <c r="F805">
        <v>3.0</v>
      </c>
      <c r="G805">
        <v>1.0</v>
      </c>
      <c r="H805" t="str">
        <f t="shared" si="2"/>
        <v>3</v>
      </c>
      <c r="I805">
        <v>102.0</v>
      </c>
      <c r="J805" t="str">
        <f t="shared" si="3"/>
        <v>323.85</v>
      </c>
      <c r="K805" t="str">
        <f t="shared" si="4"/>
        <v>987.7425</v>
      </c>
      <c r="L805" t="str">
        <f t="shared" si="5"/>
        <v>32.92475</v>
      </c>
      <c r="M805" t="str">
        <f t="shared" si="6"/>
        <v>305</v>
      </c>
      <c r="N805" t="s">
        <v>182</v>
      </c>
      <c r="O805" t="s">
        <v>1521</v>
      </c>
      <c r="P805" t="s">
        <v>1518</v>
      </c>
    </row>
    <row r="806" ht="15.75" customHeight="1">
      <c r="A806">
        <v>808.0</v>
      </c>
      <c r="B806">
        <v>125.0</v>
      </c>
      <c r="C806">
        <v>75.0</v>
      </c>
      <c r="D806">
        <v>4.0</v>
      </c>
      <c r="E806" t="str">
        <f t="shared" si="1"/>
        <v>5.9625</v>
      </c>
      <c r="F806">
        <v>2.0</v>
      </c>
      <c r="G806">
        <v>4.0</v>
      </c>
      <c r="H806" t="str">
        <f t="shared" si="2"/>
        <v>8</v>
      </c>
      <c r="I806">
        <v>102.0</v>
      </c>
      <c r="J806" t="str">
        <f t="shared" si="3"/>
        <v>323.85</v>
      </c>
      <c r="K806" t="str">
        <f t="shared" si="4"/>
        <v>890.5875</v>
      </c>
      <c r="L806" t="str">
        <f t="shared" si="5"/>
        <v>11.13234375</v>
      </c>
      <c r="M806" t="str">
        <f t="shared" si="6"/>
        <v>275</v>
      </c>
      <c r="N806" t="s">
        <v>187</v>
      </c>
      <c r="O806" t="s">
        <v>1522</v>
      </c>
      <c r="P806" t="s">
        <v>1523</v>
      </c>
    </row>
    <row r="807" ht="15.75" customHeight="1">
      <c r="A807">
        <v>809.0</v>
      </c>
      <c r="B807">
        <v>125.0</v>
      </c>
      <c r="C807">
        <v>65.0</v>
      </c>
      <c r="D807">
        <v>3.0</v>
      </c>
      <c r="E807" t="str">
        <f t="shared" si="1"/>
        <v>3.58</v>
      </c>
      <c r="F807">
        <v>3.0</v>
      </c>
      <c r="G807">
        <v>5.0</v>
      </c>
      <c r="H807" t="str">
        <f t="shared" si="2"/>
        <v>15</v>
      </c>
      <c r="I807">
        <v>108.0</v>
      </c>
      <c r="J807" t="str">
        <f t="shared" si="3"/>
        <v>342.9</v>
      </c>
      <c r="K807" t="str">
        <f t="shared" si="4"/>
        <v>1375.029</v>
      </c>
      <c r="L807" t="str">
        <f t="shared" si="5"/>
        <v>9.16686</v>
      </c>
      <c r="M807" t="str">
        <f t="shared" si="6"/>
        <v>401</v>
      </c>
      <c r="N807" t="s">
        <v>187</v>
      </c>
      <c r="O807" t="s">
        <v>1524</v>
      </c>
      <c r="P807" t="s">
        <v>1525</v>
      </c>
    </row>
    <row r="808" ht="15.75" customHeight="1">
      <c r="A808">
        <v>810.0</v>
      </c>
      <c r="B808">
        <v>74.0</v>
      </c>
      <c r="C808">
        <v>35.0</v>
      </c>
      <c r="D808">
        <v>3.0</v>
      </c>
      <c r="E808" t="str">
        <f t="shared" si="1"/>
        <v>3.1</v>
      </c>
      <c r="F808">
        <v>4.0</v>
      </c>
      <c r="G808">
        <v>8.0</v>
      </c>
      <c r="H808" t="str">
        <f t="shared" si="2"/>
        <v>32</v>
      </c>
      <c r="I808">
        <v>96.0</v>
      </c>
      <c r="J808" t="str">
        <f t="shared" si="3"/>
        <v>304.8</v>
      </c>
      <c r="K808" t="str">
        <f t="shared" si="4"/>
        <v>990.6</v>
      </c>
      <c r="L808" t="str">
        <f t="shared" si="5"/>
        <v>3.095625</v>
      </c>
      <c r="M808" t="str">
        <f t="shared" si="6"/>
        <v>325</v>
      </c>
      <c r="N808" t="s">
        <v>187</v>
      </c>
      <c r="O808" t="s">
        <v>1526</v>
      </c>
      <c r="P808" s="126" t="s">
        <v>1527</v>
      </c>
    </row>
    <row r="809" ht="15.75" customHeight="1">
      <c r="A809">
        <v>811.0</v>
      </c>
      <c r="B809">
        <v>225.0</v>
      </c>
      <c r="C809">
        <v>145.0</v>
      </c>
      <c r="D809">
        <v>3.0</v>
      </c>
      <c r="E809" t="str">
        <f t="shared" si="1"/>
        <v>6.341666667</v>
      </c>
      <c r="F809">
        <v>1.0</v>
      </c>
      <c r="G809">
        <v>3.0</v>
      </c>
      <c r="H809" t="str">
        <f t="shared" si="2"/>
        <v>3</v>
      </c>
      <c r="I809">
        <v>143.0</v>
      </c>
      <c r="J809" t="str">
        <f t="shared" si="3"/>
        <v>454.025</v>
      </c>
      <c r="K809" t="str">
        <f t="shared" si="4"/>
        <v>1112.36125</v>
      </c>
      <c r="L809" t="str">
        <f t="shared" si="5"/>
        <v>37.07870833</v>
      </c>
      <c r="M809" t="str">
        <f t="shared" si="6"/>
        <v>245</v>
      </c>
      <c r="N809" t="s">
        <v>187</v>
      </c>
      <c r="O809" t="s">
        <v>1528</v>
      </c>
      <c r="P809" t="s">
        <v>1529</v>
      </c>
    </row>
    <row r="810" ht="15.75" customHeight="1">
      <c r="A810">
        <v>812.0</v>
      </c>
      <c r="B810">
        <v>112.0</v>
      </c>
      <c r="C810">
        <v>137.0</v>
      </c>
      <c r="D810">
        <v>3.0</v>
      </c>
      <c r="E810" t="str">
        <f t="shared" si="1"/>
        <v>5.875</v>
      </c>
      <c r="F810">
        <v>3.0</v>
      </c>
      <c r="G810">
        <v>3.0</v>
      </c>
      <c r="H810" t="str">
        <f t="shared" si="2"/>
        <v>9</v>
      </c>
      <c r="I810">
        <v>135.0</v>
      </c>
      <c r="J810" t="str">
        <f t="shared" si="3"/>
        <v>428.625</v>
      </c>
      <c r="K810" t="str">
        <f t="shared" si="4"/>
        <v>1551.6225</v>
      </c>
      <c r="L810" t="str">
        <f t="shared" si="5"/>
        <v>17.24025</v>
      </c>
      <c r="M810" t="str">
        <f t="shared" si="6"/>
        <v>362</v>
      </c>
      <c r="N810" t="s">
        <v>187</v>
      </c>
      <c r="O810" t="s">
        <v>1530</v>
      </c>
      <c r="P810" t="s">
        <v>1531</v>
      </c>
    </row>
    <row r="811" ht="15.75" customHeight="1">
      <c r="A811">
        <v>813.0</v>
      </c>
      <c r="B811">
        <v>111.0</v>
      </c>
      <c r="C811">
        <v>50.0</v>
      </c>
      <c r="D811">
        <v>4.0</v>
      </c>
      <c r="E811" t="str">
        <f t="shared" si="1"/>
        <v>3.975</v>
      </c>
      <c r="F811">
        <v>2.0</v>
      </c>
      <c r="G811">
        <v>6.0</v>
      </c>
      <c r="H811" t="str">
        <f t="shared" si="2"/>
        <v>12</v>
      </c>
      <c r="I811">
        <v>102.0</v>
      </c>
      <c r="J811" t="str">
        <f t="shared" si="3"/>
        <v>323.85</v>
      </c>
      <c r="K811" t="str">
        <f t="shared" si="4"/>
        <v>799.9095</v>
      </c>
      <c r="L811" t="str">
        <f t="shared" si="5"/>
        <v>6.6659125</v>
      </c>
      <c r="M811" t="str">
        <f t="shared" si="6"/>
        <v>247</v>
      </c>
      <c r="N811" t="s">
        <v>187</v>
      </c>
      <c r="O811" t="s">
        <v>1532</v>
      </c>
      <c r="P811" t="s">
        <v>1533</v>
      </c>
    </row>
    <row r="812" ht="15.75" customHeight="1">
      <c r="A812">
        <v>814.0</v>
      </c>
      <c r="B812">
        <v>93.0</v>
      </c>
      <c r="C812">
        <v>243.0</v>
      </c>
      <c r="D812">
        <v>3.0</v>
      </c>
      <c r="E812" t="str">
        <f t="shared" si="1"/>
        <v>18.9375</v>
      </c>
      <c r="F812">
        <v>3.0</v>
      </c>
      <c r="G812">
        <v>2.0</v>
      </c>
      <c r="H812" t="str">
        <f t="shared" si="2"/>
        <v>6</v>
      </c>
      <c r="I812">
        <v>165.0</v>
      </c>
      <c r="J812" t="str">
        <f t="shared" si="3"/>
        <v>523.875</v>
      </c>
      <c r="K812" t="str">
        <f t="shared" si="4"/>
        <v>1597.81875</v>
      </c>
      <c r="L812" t="str">
        <f t="shared" si="5"/>
        <v>26.6303125</v>
      </c>
      <c r="M812" t="str">
        <f t="shared" si="6"/>
        <v>305</v>
      </c>
      <c r="N812" t="s">
        <v>182</v>
      </c>
      <c r="O812" t="s">
        <v>1534</v>
      </c>
      <c r="P812" t="s">
        <v>1535</v>
      </c>
    </row>
    <row r="813" ht="15.75" customHeight="1">
      <c r="A813">
        <v>815.0</v>
      </c>
      <c r="B813">
        <v>25.0</v>
      </c>
      <c r="C813">
        <v>120.0</v>
      </c>
      <c r="D813">
        <v>3.0</v>
      </c>
      <c r="E813" t="str">
        <f t="shared" si="1"/>
        <v>7</v>
      </c>
      <c r="F813">
        <v>12.0</v>
      </c>
      <c r="G813">
        <v>3.0</v>
      </c>
      <c r="H813" t="str">
        <f t="shared" si="2"/>
        <v>36</v>
      </c>
      <c r="I813">
        <v>120.0</v>
      </c>
      <c r="J813" t="str">
        <f t="shared" si="3"/>
        <v>381</v>
      </c>
      <c r="K813" t="str">
        <f t="shared" si="4"/>
        <v>1344.93</v>
      </c>
      <c r="L813" t="str">
        <f t="shared" si="5"/>
        <v>3.735916667</v>
      </c>
      <c r="M813" t="str">
        <f t="shared" si="6"/>
        <v>353</v>
      </c>
      <c r="N813" t="s">
        <v>187</v>
      </c>
      <c r="O813" t="s">
        <v>1536</v>
      </c>
      <c r="P813" t="s">
        <v>1537</v>
      </c>
    </row>
    <row r="814" ht="15.75" customHeight="1">
      <c r="A814">
        <v>816.0</v>
      </c>
      <c r="B814">
        <v>57.0</v>
      </c>
      <c r="C814">
        <v>120.0</v>
      </c>
      <c r="D814">
        <v>3.0</v>
      </c>
      <c r="E814" t="str">
        <f t="shared" si="1"/>
        <v>7</v>
      </c>
      <c r="F814">
        <v>5.0</v>
      </c>
      <c r="G814">
        <v>3.0</v>
      </c>
      <c r="H814" t="str">
        <f t="shared" si="2"/>
        <v>15</v>
      </c>
      <c r="I814">
        <v>120.0</v>
      </c>
      <c r="J814" t="str">
        <f t="shared" si="3"/>
        <v>381</v>
      </c>
      <c r="K814" t="str">
        <f t="shared" si="4"/>
        <v>1207.77</v>
      </c>
      <c r="L814" t="str">
        <f t="shared" si="5"/>
        <v>8.0518</v>
      </c>
      <c r="M814" t="str">
        <f t="shared" si="6"/>
        <v>317</v>
      </c>
      <c r="N814" t="s">
        <v>187</v>
      </c>
      <c r="O814" t="s">
        <v>1538</v>
      </c>
      <c r="P814" s="126" t="s">
        <v>1539</v>
      </c>
    </row>
    <row r="815" ht="15.75" customHeight="1">
      <c r="A815">
        <v>817.0</v>
      </c>
      <c r="B815">
        <v>100.0</v>
      </c>
      <c r="C815">
        <v>54.0</v>
      </c>
      <c r="D815">
        <v>3.0</v>
      </c>
      <c r="E815" t="str">
        <f t="shared" si="1"/>
        <v>3.15</v>
      </c>
      <c r="F815">
        <v>2.0</v>
      </c>
      <c r="G815">
        <v>5.0</v>
      </c>
      <c r="H815" t="str">
        <f t="shared" si="2"/>
        <v>10</v>
      </c>
      <c r="I815">
        <v>90.0</v>
      </c>
      <c r="J815" t="str">
        <f t="shared" si="3"/>
        <v>285.75</v>
      </c>
      <c r="K815" t="str">
        <f t="shared" si="4"/>
        <v>637.2225</v>
      </c>
      <c r="L815" t="str">
        <f t="shared" si="5"/>
        <v>6.372225</v>
      </c>
      <c r="M815" t="str">
        <f t="shared" si="6"/>
        <v>223</v>
      </c>
      <c r="N815" t="s">
        <v>187</v>
      </c>
      <c r="O815" t="s">
        <v>1540</v>
      </c>
      <c r="P815" t="s">
        <v>1541</v>
      </c>
    </row>
    <row r="816" ht="15.75" customHeight="1">
      <c r="A816">
        <v>818.0</v>
      </c>
      <c r="B816">
        <v>90.0</v>
      </c>
      <c r="C816">
        <v>55.0</v>
      </c>
      <c r="D816">
        <v>3.0</v>
      </c>
      <c r="E816" t="str">
        <f t="shared" si="1"/>
        <v>3.208333333</v>
      </c>
      <c r="F816">
        <v>2.0</v>
      </c>
      <c r="G816">
        <v>6.0</v>
      </c>
      <c r="H816" t="str">
        <f t="shared" si="2"/>
        <v>12</v>
      </c>
      <c r="I816">
        <v>110.0</v>
      </c>
      <c r="J816" t="str">
        <f t="shared" si="3"/>
        <v>349.25</v>
      </c>
      <c r="K816" t="str">
        <f t="shared" si="4"/>
        <v>708.9775</v>
      </c>
      <c r="L816" t="str">
        <f t="shared" si="5"/>
        <v>5.908145833</v>
      </c>
      <c r="M816" t="str">
        <f t="shared" si="6"/>
        <v>203</v>
      </c>
      <c r="N816" t="s">
        <v>182</v>
      </c>
      <c r="O816" t="s">
        <v>1542</v>
      </c>
      <c r="P816" t="s">
        <v>1543</v>
      </c>
    </row>
    <row r="817" ht="15.75" customHeight="1">
      <c r="A817">
        <v>819.0</v>
      </c>
      <c r="B817">
        <v>200.0</v>
      </c>
      <c r="C817">
        <v>154.0</v>
      </c>
      <c r="D817">
        <v>3.0</v>
      </c>
      <c r="E817" t="str">
        <f t="shared" si="1"/>
        <v>2.633333333</v>
      </c>
      <c r="F817">
        <v>2.0</v>
      </c>
      <c r="G817">
        <v>3.0</v>
      </c>
      <c r="H817" t="str">
        <f t="shared" si="2"/>
        <v>6</v>
      </c>
      <c r="I817">
        <v>148.0</v>
      </c>
      <c r="J817" t="str">
        <f t="shared" si="3"/>
        <v>469.9</v>
      </c>
      <c r="K817" t="str">
        <f t="shared" si="4"/>
        <v>1987.677</v>
      </c>
      <c r="L817" t="str">
        <f t="shared" si="5"/>
        <v>33.12795</v>
      </c>
      <c r="M817" t="str">
        <f t="shared" si="6"/>
        <v>423</v>
      </c>
      <c r="N817" t="s">
        <v>182</v>
      </c>
      <c r="O817" t="s">
        <v>1544</v>
      </c>
      <c r="P817" s="126" t="s">
        <v>1545</v>
      </c>
    </row>
    <row r="818" ht="15.75" customHeight="1">
      <c r="A818">
        <v>820.0</v>
      </c>
      <c r="B818">
        <v>70.0</v>
      </c>
      <c r="C818">
        <v>154.0</v>
      </c>
      <c r="D818">
        <v>3.0</v>
      </c>
      <c r="E818" t="str">
        <f t="shared" si="1"/>
        <v>2.633333333</v>
      </c>
      <c r="F818">
        <v>5.0</v>
      </c>
      <c r="G818">
        <v>3.0</v>
      </c>
      <c r="H818" t="str">
        <f t="shared" si="2"/>
        <v>15</v>
      </c>
      <c r="I818">
        <v>148.0</v>
      </c>
      <c r="J818" t="str">
        <f t="shared" si="3"/>
        <v>469.9</v>
      </c>
      <c r="K818" t="str">
        <f t="shared" si="4"/>
        <v>1795.018</v>
      </c>
      <c r="L818" t="str">
        <f t="shared" si="5"/>
        <v>11.96678667</v>
      </c>
      <c r="M818" t="str">
        <f t="shared" si="6"/>
        <v>382</v>
      </c>
      <c r="N818" t="s">
        <v>182</v>
      </c>
      <c r="O818" t="s">
        <v>1546</v>
      </c>
      <c r="P818" t="s">
        <v>1547</v>
      </c>
    </row>
    <row r="819" ht="15.75" customHeight="1">
      <c r="A819">
        <v>821.0</v>
      </c>
      <c r="B819">
        <v>62.0</v>
      </c>
      <c r="C819">
        <v>60.0</v>
      </c>
      <c r="D819">
        <v>3.0</v>
      </c>
      <c r="E819" t="str">
        <f t="shared" si="1"/>
        <v>3.5</v>
      </c>
      <c r="F819">
        <v>4.0</v>
      </c>
      <c r="G819">
        <v>6.0</v>
      </c>
      <c r="H819" t="str">
        <f t="shared" si="2"/>
        <v>24</v>
      </c>
      <c r="I819">
        <v>120.0</v>
      </c>
      <c r="J819" t="str">
        <f t="shared" si="3"/>
        <v>381</v>
      </c>
      <c r="K819" t="str">
        <f t="shared" si="4"/>
        <v>1055.37</v>
      </c>
      <c r="L819" t="str">
        <f t="shared" si="5"/>
        <v>4.397375</v>
      </c>
      <c r="M819" t="str">
        <f t="shared" si="6"/>
        <v>277</v>
      </c>
      <c r="N819" t="s">
        <v>182</v>
      </c>
      <c r="O819" t="s">
        <v>1548</v>
      </c>
      <c r="P819" t="s">
        <v>1549</v>
      </c>
    </row>
    <row r="820" ht="15.75" customHeight="1">
      <c r="A820">
        <v>822.0</v>
      </c>
      <c r="B820">
        <v>88.0</v>
      </c>
      <c r="C820">
        <v>75.0</v>
      </c>
      <c r="D820">
        <v>3.0</v>
      </c>
      <c r="E820" t="str">
        <f t="shared" si="1"/>
        <v>2.7875</v>
      </c>
      <c r="F820">
        <v>4.0</v>
      </c>
      <c r="G820">
        <v>4.0</v>
      </c>
      <c r="H820" t="str">
        <f t="shared" si="2"/>
        <v>16</v>
      </c>
      <c r="I820">
        <v>98.0</v>
      </c>
      <c r="J820" t="str">
        <f t="shared" si="3"/>
        <v>311.15</v>
      </c>
      <c r="K820" t="str">
        <f t="shared" si="4"/>
        <v>1185.4815</v>
      </c>
      <c r="L820" t="str">
        <f t="shared" si="5"/>
        <v>7.409259375</v>
      </c>
      <c r="M820" t="str">
        <f t="shared" si="6"/>
        <v>381</v>
      </c>
      <c r="N820" t="s">
        <v>182</v>
      </c>
      <c r="O820" t="s">
        <v>1550</v>
      </c>
      <c r="P820" t="s">
        <v>1549</v>
      </c>
    </row>
    <row r="821" ht="15.75" customHeight="1">
      <c r="A821">
        <v>823.0</v>
      </c>
      <c r="B821">
        <v>84.0</v>
      </c>
      <c r="C821">
        <v>97.0</v>
      </c>
      <c r="D821">
        <v>3.0</v>
      </c>
      <c r="E821" t="str">
        <f t="shared" si="1"/>
        <v>4.6</v>
      </c>
      <c r="F821">
        <v>4.0</v>
      </c>
      <c r="G821">
        <v>3.0</v>
      </c>
      <c r="H821" t="str">
        <f t="shared" si="2"/>
        <v>12</v>
      </c>
      <c r="I821">
        <v>96.0</v>
      </c>
      <c r="J821" t="str">
        <f t="shared" si="3"/>
        <v>304.8</v>
      </c>
      <c r="K821" t="str">
        <f t="shared" si="4"/>
        <v>1112.52</v>
      </c>
      <c r="L821" t="str">
        <f t="shared" si="5"/>
        <v>9.271</v>
      </c>
      <c r="M821" t="str">
        <f t="shared" si="6"/>
        <v>365</v>
      </c>
      <c r="N821" t="s">
        <v>187</v>
      </c>
      <c r="O821" t="s">
        <v>1551</v>
      </c>
      <c r="P821" s="126" t="s">
        <v>1552</v>
      </c>
    </row>
    <row r="822" ht="15.75" customHeight="1">
      <c r="A822">
        <v>824.0</v>
      </c>
      <c r="B822">
        <v>83.0</v>
      </c>
      <c r="C822">
        <v>38.0</v>
      </c>
      <c r="D822">
        <v>3.0</v>
      </c>
      <c r="E822" t="str">
        <f t="shared" si="1"/>
        <v>2.821428571</v>
      </c>
      <c r="F822">
        <v>3.0</v>
      </c>
      <c r="G822">
        <v>7.0</v>
      </c>
      <c r="H822" t="str">
        <f t="shared" si="2"/>
        <v>21</v>
      </c>
      <c r="I822">
        <v>90.0</v>
      </c>
      <c r="J822" t="str">
        <f t="shared" si="3"/>
        <v>285.75</v>
      </c>
      <c r="K822" t="str">
        <f t="shared" si="4"/>
        <v>785.8125</v>
      </c>
      <c r="L822" t="str">
        <f t="shared" si="5"/>
        <v>3.741964286</v>
      </c>
      <c r="M822" t="str">
        <f t="shared" si="6"/>
        <v>275</v>
      </c>
      <c r="N822" t="s">
        <v>187</v>
      </c>
      <c r="O822" t="s">
        <v>1553</v>
      </c>
      <c r="P822" t="s">
        <v>1554</v>
      </c>
    </row>
    <row r="823" ht="15.75" customHeight="1">
      <c r="A823">
        <v>825.0</v>
      </c>
      <c r="B823">
        <v>62.0</v>
      </c>
      <c r="C823">
        <v>37.0</v>
      </c>
      <c r="D823">
        <v>3.0</v>
      </c>
      <c r="E823" t="str">
        <f t="shared" si="1"/>
        <v>2.914285714</v>
      </c>
      <c r="F823">
        <v>4.0</v>
      </c>
      <c r="G823">
        <v>7.0</v>
      </c>
      <c r="H823" t="str">
        <f t="shared" si="2"/>
        <v>28</v>
      </c>
      <c r="I823">
        <v>88.0</v>
      </c>
      <c r="J823" t="str">
        <f t="shared" si="3"/>
        <v>279.4</v>
      </c>
      <c r="K823" t="str">
        <f t="shared" si="4"/>
        <v>773.938</v>
      </c>
      <c r="L823" t="str">
        <f t="shared" si="5"/>
        <v>2.764064286</v>
      </c>
      <c r="M823" t="str">
        <f t="shared" si="6"/>
        <v>277</v>
      </c>
      <c r="N823" t="s">
        <v>187</v>
      </c>
      <c r="O823" t="s">
        <v>1555</v>
      </c>
      <c r="P823" t="s">
        <v>1554</v>
      </c>
    </row>
    <row r="824" ht="15.75" customHeight="1">
      <c r="A824">
        <v>826.0</v>
      </c>
      <c r="B824">
        <v>110.0</v>
      </c>
      <c r="C824">
        <v>149.0</v>
      </c>
      <c r="D824">
        <v>3.0</v>
      </c>
      <c r="E824" t="str">
        <f t="shared" si="1"/>
        <v>3.4</v>
      </c>
      <c r="F824">
        <v>2.0</v>
      </c>
      <c r="G824">
        <v>2.0</v>
      </c>
      <c r="H824" t="str">
        <f t="shared" si="2"/>
        <v>4</v>
      </c>
      <c r="I824">
        <v>96.0</v>
      </c>
      <c r="J824" t="str">
        <f t="shared" si="3"/>
        <v>304.8</v>
      </c>
      <c r="K824" t="str">
        <f t="shared" si="4"/>
        <v>740.664</v>
      </c>
      <c r="L824" t="str">
        <f t="shared" si="5"/>
        <v>18.5166</v>
      </c>
      <c r="M824" t="str">
        <f t="shared" si="6"/>
        <v>243</v>
      </c>
      <c r="N824" t="s">
        <v>187</v>
      </c>
      <c r="O824" t="s">
        <v>1556</v>
      </c>
      <c r="P824" s="126" t="s">
        <v>1557</v>
      </c>
    </row>
    <row r="825" ht="15.75" customHeight="1">
      <c r="A825">
        <v>827.0</v>
      </c>
      <c r="B825">
        <v>235.0</v>
      </c>
      <c r="C825">
        <v>80.0</v>
      </c>
      <c r="D825">
        <v>5.0</v>
      </c>
      <c r="E825" t="str">
        <f t="shared" si="1"/>
        <v>3.34375</v>
      </c>
      <c r="F825">
        <v>1.0</v>
      </c>
      <c r="G825">
        <v>4.0</v>
      </c>
      <c r="H825" t="str">
        <f t="shared" si="2"/>
        <v>4</v>
      </c>
      <c r="I825">
        <v>105.0</v>
      </c>
      <c r="J825" t="str">
        <f t="shared" si="3"/>
        <v>333.375</v>
      </c>
      <c r="K825" t="str">
        <f t="shared" si="4"/>
        <v>856.77375</v>
      </c>
      <c r="L825" t="str">
        <f t="shared" si="5"/>
        <v>21.41934375</v>
      </c>
      <c r="M825" t="str">
        <f t="shared" si="6"/>
        <v>257</v>
      </c>
      <c r="N825" t="s">
        <v>187</v>
      </c>
      <c r="O825" t="s">
        <v>1558</v>
      </c>
      <c r="P825" t="s">
        <v>1559</v>
      </c>
    </row>
    <row r="826" ht="15.75" customHeight="1">
      <c r="A826">
        <v>828.0</v>
      </c>
      <c r="B826">
        <v>265.0</v>
      </c>
      <c r="C826">
        <v>90.0</v>
      </c>
      <c r="D826">
        <v>5.0</v>
      </c>
      <c r="E826" t="str">
        <f t="shared" si="1"/>
        <v>3.133333333</v>
      </c>
      <c r="F826">
        <v>1.0</v>
      </c>
      <c r="G826">
        <v>3.0</v>
      </c>
      <c r="H826" t="str">
        <f t="shared" si="2"/>
        <v>3</v>
      </c>
      <c r="I826">
        <v>88.0</v>
      </c>
      <c r="J826" t="str">
        <f t="shared" si="3"/>
        <v>279.4</v>
      </c>
      <c r="K826" t="str">
        <f t="shared" si="4"/>
        <v>801.878</v>
      </c>
      <c r="L826" t="str">
        <f t="shared" si="5"/>
        <v>26.72926667</v>
      </c>
      <c r="M826" t="str">
        <f t="shared" si="6"/>
        <v>287</v>
      </c>
      <c r="N826" t="s">
        <v>187</v>
      </c>
      <c r="O826" t="s">
        <v>1560</v>
      </c>
      <c r="P826" t="s">
        <v>1561</v>
      </c>
    </row>
    <row r="827" ht="15.75" customHeight="1">
      <c r="A827">
        <v>829.0</v>
      </c>
      <c r="B827">
        <v>55.0</v>
      </c>
      <c r="C827">
        <v>98.0</v>
      </c>
      <c r="D827">
        <v>3.0</v>
      </c>
      <c r="E827" t="str">
        <f t="shared" si="1"/>
        <v>3.6</v>
      </c>
      <c r="F827">
        <v>4.0</v>
      </c>
      <c r="G827">
        <v>3.0</v>
      </c>
      <c r="H827" t="str">
        <f t="shared" si="2"/>
        <v>12</v>
      </c>
      <c r="I827">
        <v>96.0</v>
      </c>
      <c r="J827" t="str">
        <f t="shared" si="3"/>
        <v>304.8</v>
      </c>
      <c r="K827" t="str">
        <f t="shared" si="4"/>
        <v>758.952</v>
      </c>
      <c r="L827" t="str">
        <f t="shared" si="5"/>
        <v>6.3246</v>
      </c>
      <c r="M827" t="str">
        <f t="shared" si="6"/>
        <v>249</v>
      </c>
      <c r="N827" t="s">
        <v>187</v>
      </c>
      <c r="O827" t="s">
        <v>1562</v>
      </c>
      <c r="P827" s="126" t="s">
        <v>1563</v>
      </c>
    </row>
    <row r="828" ht="15.75" customHeight="1">
      <c r="A828">
        <v>830.0</v>
      </c>
      <c r="B828">
        <v>15.0</v>
      </c>
      <c r="C828">
        <v>45.0</v>
      </c>
      <c r="D828">
        <v>3.0</v>
      </c>
      <c r="E828" t="str">
        <f t="shared" si="1"/>
        <v>2.625</v>
      </c>
      <c r="F828">
        <v>18.0</v>
      </c>
      <c r="G828">
        <v>7.0</v>
      </c>
      <c r="H828" t="str">
        <f t="shared" si="2"/>
        <v>126</v>
      </c>
      <c r="I828">
        <v>105.0</v>
      </c>
      <c r="J828" t="str">
        <f t="shared" si="3"/>
        <v>333.375</v>
      </c>
      <c r="K828" t="str">
        <f t="shared" si="4"/>
        <v>1136.80875</v>
      </c>
      <c r="L828" t="str">
        <f t="shared" si="5"/>
        <v>0.9022291667</v>
      </c>
      <c r="M828" t="str">
        <f t="shared" si="6"/>
        <v>341</v>
      </c>
      <c r="N828" t="s">
        <v>182</v>
      </c>
      <c r="O828" t="s">
        <v>1564</v>
      </c>
      <c r="P828" s="126" t="s">
        <v>1565</v>
      </c>
    </row>
    <row r="829" ht="15.75" customHeight="1">
      <c r="A829">
        <v>831.0</v>
      </c>
      <c r="B829">
        <v>115.0</v>
      </c>
      <c r="C829">
        <v>65.0</v>
      </c>
      <c r="D829">
        <v>5.0</v>
      </c>
      <c r="E829" t="str">
        <f t="shared" si="1"/>
        <v>3.2625</v>
      </c>
      <c r="F829">
        <v>2.0</v>
      </c>
      <c r="G829">
        <v>4.0</v>
      </c>
      <c r="H829" t="str">
        <f t="shared" si="2"/>
        <v>8</v>
      </c>
      <c r="I829">
        <v>86.0</v>
      </c>
      <c r="J829" t="str">
        <f t="shared" si="3"/>
        <v>273.05</v>
      </c>
      <c r="K829" t="str">
        <f t="shared" si="4"/>
        <v>701.7385</v>
      </c>
      <c r="L829" t="str">
        <f t="shared" si="5"/>
        <v>8.77173125</v>
      </c>
      <c r="M829" t="str">
        <f t="shared" si="6"/>
        <v>257</v>
      </c>
      <c r="N829" t="s">
        <v>187</v>
      </c>
      <c r="O829" t="s">
        <v>1566</v>
      </c>
      <c r="P829" t="s">
        <v>1567</v>
      </c>
    </row>
    <row r="830" ht="15.75" customHeight="1">
      <c r="A830">
        <v>832.0</v>
      </c>
      <c r="B830">
        <v>140.0</v>
      </c>
      <c r="C830">
        <v>90.0</v>
      </c>
      <c r="D830">
        <v>3.0</v>
      </c>
      <c r="E830" t="str">
        <f t="shared" si="1"/>
        <v>3.133333333</v>
      </c>
      <c r="F830">
        <v>2.0</v>
      </c>
      <c r="G830">
        <v>3.0</v>
      </c>
      <c r="H830" t="str">
        <f t="shared" si="2"/>
        <v>6</v>
      </c>
      <c r="I830">
        <v>88.0</v>
      </c>
      <c r="J830" t="str">
        <f t="shared" si="3"/>
        <v>279.4</v>
      </c>
      <c r="K830" t="str">
        <f t="shared" si="4"/>
        <v>846.582</v>
      </c>
      <c r="L830" t="str">
        <f t="shared" si="5"/>
        <v>14.1097</v>
      </c>
      <c r="M830" t="str">
        <f t="shared" si="6"/>
        <v>303</v>
      </c>
      <c r="N830" t="s">
        <v>182</v>
      </c>
      <c r="O830" t="s">
        <v>1568</v>
      </c>
      <c r="P830" t="s">
        <v>1569</v>
      </c>
    </row>
    <row r="831" ht="15.75" customHeight="1">
      <c r="A831">
        <v>833.0</v>
      </c>
      <c r="B831">
        <v>97.0</v>
      </c>
      <c r="C831">
        <v>45.0</v>
      </c>
      <c r="D831">
        <v>5.0</v>
      </c>
      <c r="E831" t="str">
        <f t="shared" si="1"/>
        <v>2.625</v>
      </c>
      <c r="F831">
        <v>2.0</v>
      </c>
      <c r="G831">
        <v>6.0</v>
      </c>
      <c r="H831" t="str">
        <f t="shared" si="2"/>
        <v>12</v>
      </c>
      <c r="I831">
        <v>90.0</v>
      </c>
      <c r="J831" t="str">
        <f t="shared" si="3"/>
        <v>285.75</v>
      </c>
      <c r="K831" t="str">
        <f t="shared" si="4"/>
        <v>631.5075</v>
      </c>
      <c r="L831" t="str">
        <f t="shared" si="5"/>
        <v>5.2625625</v>
      </c>
      <c r="M831" t="str">
        <f t="shared" si="6"/>
        <v>221</v>
      </c>
      <c r="N831" t="s">
        <v>187</v>
      </c>
      <c r="O831" t="s">
        <v>1570</v>
      </c>
      <c r="P831" t="s">
        <v>1571</v>
      </c>
    </row>
    <row r="832" ht="15.75" customHeight="1">
      <c r="A832">
        <v>834.0</v>
      </c>
      <c r="B832">
        <v>130.0</v>
      </c>
      <c r="C832">
        <v>120.0</v>
      </c>
      <c r="D832">
        <v>3.0</v>
      </c>
      <c r="E832" t="str">
        <f t="shared" si="1"/>
        <v>7</v>
      </c>
      <c r="F832">
        <v>3.0</v>
      </c>
      <c r="G832">
        <v>3.0</v>
      </c>
      <c r="H832" t="str">
        <f t="shared" si="2"/>
        <v>9</v>
      </c>
      <c r="I832">
        <v>120.0</v>
      </c>
      <c r="J832" t="str">
        <f t="shared" si="3"/>
        <v>381</v>
      </c>
      <c r="K832" t="str">
        <f t="shared" si="4"/>
        <v>1584.96</v>
      </c>
      <c r="L832" t="str">
        <f t="shared" si="5"/>
        <v>17.61066667</v>
      </c>
      <c r="M832" t="str">
        <f t="shared" si="6"/>
        <v>416</v>
      </c>
      <c r="N832" t="s">
        <v>187</v>
      </c>
      <c r="O832" t="s">
        <v>1572</v>
      </c>
      <c r="P832" t="s">
        <v>1573</v>
      </c>
    </row>
    <row r="833" ht="15.75" customHeight="1">
      <c r="A833">
        <v>835.0</v>
      </c>
      <c r="B833">
        <v>135.0</v>
      </c>
      <c r="C833">
        <v>32.0</v>
      </c>
      <c r="D833">
        <v>3.0</v>
      </c>
      <c r="E833" t="str">
        <f t="shared" si="1"/>
        <v>2.925</v>
      </c>
      <c r="F833">
        <v>2.0</v>
      </c>
      <c r="G833">
        <v>8.0</v>
      </c>
      <c r="H833" t="str">
        <f t="shared" si="2"/>
        <v>16</v>
      </c>
      <c r="I833">
        <v>88.0</v>
      </c>
      <c r="J833" t="str">
        <f t="shared" si="3"/>
        <v>279.4</v>
      </c>
      <c r="K833" t="str">
        <f t="shared" si="4"/>
        <v>818.642</v>
      </c>
      <c r="L833" t="str">
        <f t="shared" si="5"/>
        <v>5.1165125</v>
      </c>
      <c r="M833" t="str">
        <f t="shared" si="6"/>
        <v>293</v>
      </c>
      <c r="N833" t="s">
        <v>182</v>
      </c>
      <c r="O833" t="s">
        <v>1574</v>
      </c>
      <c r="P833" t="s">
        <v>1575</v>
      </c>
    </row>
    <row r="834" ht="15.75" customHeight="1">
      <c r="A834">
        <v>836.0</v>
      </c>
      <c r="B834">
        <v>140.0</v>
      </c>
      <c r="C834">
        <v>40.0</v>
      </c>
      <c r="D834">
        <v>3.0</v>
      </c>
      <c r="E834" t="str">
        <f t="shared" si="1"/>
        <v>3.542857143</v>
      </c>
      <c r="F834">
        <v>2.0</v>
      </c>
      <c r="G834">
        <v>7.0</v>
      </c>
      <c r="H834" t="str">
        <f t="shared" si="2"/>
        <v>14</v>
      </c>
      <c r="I834">
        <v>96.0</v>
      </c>
      <c r="J834" t="str">
        <f t="shared" si="3"/>
        <v>304.8</v>
      </c>
      <c r="K834" t="str">
        <f t="shared" si="4"/>
        <v>923.544</v>
      </c>
      <c r="L834" t="str">
        <f t="shared" si="5"/>
        <v>6.596742857</v>
      </c>
      <c r="M834" t="str">
        <f t="shared" si="6"/>
        <v>303</v>
      </c>
      <c r="N834" t="s">
        <v>182</v>
      </c>
      <c r="O834" t="s">
        <v>1576</v>
      </c>
      <c r="P834" t="s">
        <v>1577</v>
      </c>
    </row>
    <row r="835" ht="15.75" customHeight="1">
      <c r="A835">
        <v>837.0</v>
      </c>
      <c r="B835">
        <v>170.0</v>
      </c>
      <c r="C835">
        <v>55.0</v>
      </c>
      <c r="D835">
        <v>3.0</v>
      </c>
      <c r="E835" t="str">
        <f t="shared" si="1"/>
        <v>3.208333333</v>
      </c>
      <c r="F835">
        <v>2.0</v>
      </c>
      <c r="G835">
        <v>6.0</v>
      </c>
      <c r="H835" t="str">
        <f t="shared" si="2"/>
        <v>12</v>
      </c>
      <c r="I835">
        <v>110.0</v>
      </c>
      <c r="J835" t="str">
        <f t="shared" si="3"/>
        <v>349.25</v>
      </c>
      <c r="K835" t="str">
        <f t="shared" si="4"/>
        <v>1267.7775</v>
      </c>
      <c r="L835" t="str">
        <f t="shared" si="5"/>
        <v>10.5648125</v>
      </c>
      <c r="M835" t="str">
        <f t="shared" si="6"/>
        <v>363</v>
      </c>
      <c r="N835" t="s">
        <v>182</v>
      </c>
      <c r="O835" t="s">
        <v>1578</v>
      </c>
      <c r="P835" t="s">
        <v>1577</v>
      </c>
    </row>
    <row r="836" ht="15.75" customHeight="1">
      <c r="A836">
        <v>838.0</v>
      </c>
      <c r="B836">
        <v>89.0</v>
      </c>
      <c r="C836">
        <v>277.0</v>
      </c>
      <c r="D836">
        <v>3.0</v>
      </c>
      <c r="E836" t="str">
        <f t="shared" si="1"/>
        <v>2.4</v>
      </c>
      <c r="F836">
        <v>4.0</v>
      </c>
      <c r="G836">
        <v>2.0</v>
      </c>
      <c r="H836" t="str">
        <f t="shared" si="2"/>
        <v>8</v>
      </c>
      <c r="I836">
        <v>176.0</v>
      </c>
      <c r="J836" t="str">
        <f t="shared" si="3"/>
        <v>558.8</v>
      </c>
      <c r="K836" t="str">
        <f t="shared" si="4"/>
        <v>2151.38</v>
      </c>
      <c r="L836" t="str">
        <f t="shared" si="5"/>
        <v>26.89225</v>
      </c>
      <c r="M836" t="str">
        <f t="shared" si="6"/>
        <v>385</v>
      </c>
      <c r="N836" t="s">
        <v>187</v>
      </c>
      <c r="O836" t="s">
        <v>1579</v>
      </c>
      <c r="P836" t="s">
        <v>1580</v>
      </c>
    </row>
    <row r="837" ht="15.75" customHeight="1">
      <c r="A837">
        <v>839.0</v>
      </c>
      <c r="B837">
        <v>135.0</v>
      </c>
      <c r="C837">
        <v>50.0</v>
      </c>
      <c r="D837">
        <v>3.0</v>
      </c>
      <c r="E837" t="str">
        <f t="shared" si="1"/>
        <v>3.975</v>
      </c>
      <c r="F837">
        <v>2.0</v>
      </c>
      <c r="G837">
        <v>6.0</v>
      </c>
      <c r="H837" t="str">
        <f t="shared" si="2"/>
        <v>12</v>
      </c>
      <c r="I837">
        <v>102.0</v>
      </c>
      <c r="J837" t="str">
        <f t="shared" si="3"/>
        <v>323.85</v>
      </c>
      <c r="K837" t="str">
        <f t="shared" si="4"/>
        <v>948.8805</v>
      </c>
      <c r="L837" t="str">
        <f t="shared" si="5"/>
        <v>7.9073375</v>
      </c>
      <c r="M837" t="str">
        <f t="shared" si="6"/>
        <v>293</v>
      </c>
      <c r="N837" t="s">
        <v>187</v>
      </c>
      <c r="O837" t="s">
        <v>1581</v>
      </c>
      <c r="P837" t="s">
        <v>1582</v>
      </c>
    </row>
    <row r="838" ht="15.75" customHeight="1">
      <c r="A838">
        <v>840.0</v>
      </c>
      <c r="B838">
        <v>303.0</v>
      </c>
      <c r="C838">
        <v>45.0</v>
      </c>
      <c r="D838">
        <v>3.0</v>
      </c>
      <c r="E838" t="str">
        <f t="shared" si="1"/>
        <v>2.625</v>
      </c>
      <c r="F838">
        <v>1.0</v>
      </c>
      <c r="G838">
        <v>7.0</v>
      </c>
      <c r="H838" t="str">
        <f t="shared" si="2"/>
        <v>7</v>
      </c>
      <c r="I838">
        <v>105.0</v>
      </c>
      <c r="J838" t="str">
        <f t="shared" si="3"/>
        <v>333.375</v>
      </c>
      <c r="K838" t="str">
        <f t="shared" si="4"/>
        <v>1076.80125</v>
      </c>
      <c r="L838" t="str">
        <f t="shared" si="5"/>
        <v>15.382875</v>
      </c>
      <c r="M838" t="str">
        <f t="shared" si="6"/>
        <v>323</v>
      </c>
      <c r="N838" t="s">
        <v>187</v>
      </c>
      <c r="O838" t="s">
        <v>1583</v>
      </c>
      <c r="P838" t="s">
        <v>1584</v>
      </c>
    </row>
    <row r="839" ht="15.75" customHeight="1">
      <c r="A839">
        <v>841.0</v>
      </c>
      <c r="B839">
        <v>131.5</v>
      </c>
      <c r="C839">
        <v>104.0</v>
      </c>
      <c r="D839">
        <v>5.0</v>
      </c>
      <c r="E839" t="str">
        <f t="shared" si="1"/>
        <v>3.15625</v>
      </c>
      <c r="F839">
        <v>2.0</v>
      </c>
      <c r="G839">
        <v>4.0</v>
      </c>
      <c r="H839" t="str">
        <f t="shared" si="2"/>
        <v>8</v>
      </c>
      <c r="I839">
        <v>135.0</v>
      </c>
      <c r="J839" t="str">
        <f t="shared" si="3"/>
        <v>428.625</v>
      </c>
      <c r="K839" t="str">
        <f t="shared" si="4"/>
        <v>1243.0125</v>
      </c>
      <c r="L839" t="str">
        <f t="shared" si="5"/>
        <v>15.53765625</v>
      </c>
      <c r="M839" t="str">
        <f t="shared" si="6"/>
        <v>290</v>
      </c>
      <c r="N839" t="s">
        <v>182</v>
      </c>
      <c r="O839" t="s">
        <v>1585</v>
      </c>
      <c r="P839" t="s">
        <v>1586</v>
      </c>
    </row>
    <row r="840" ht="15.75" customHeight="1">
      <c r="A840">
        <v>842.0</v>
      </c>
      <c r="B840">
        <v>161.0</v>
      </c>
      <c r="C840">
        <v>61.0</v>
      </c>
      <c r="D840">
        <v>3.0</v>
      </c>
      <c r="E840" t="str">
        <f t="shared" si="1"/>
        <v>3.77</v>
      </c>
      <c r="F840">
        <v>2.0</v>
      </c>
      <c r="G840">
        <v>5.0</v>
      </c>
      <c r="H840" t="str">
        <f t="shared" si="2"/>
        <v>10</v>
      </c>
      <c r="I840">
        <v>102.0</v>
      </c>
      <c r="J840" t="str">
        <f t="shared" si="3"/>
        <v>323.85</v>
      </c>
      <c r="K840" t="str">
        <f t="shared" si="4"/>
        <v>1117.2825</v>
      </c>
      <c r="L840" t="str">
        <f t="shared" si="5"/>
        <v>11.172825</v>
      </c>
      <c r="M840" t="str">
        <f t="shared" si="6"/>
        <v>345</v>
      </c>
      <c r="N840" t="s">
        <v>182</v>
      </c>
      <c r="O840" t="s">
        <v>1587</v>
      </c>
      <c r="P840" t="s">
        <v>1588</v>
      </c>
    </row>
    <row r="841" ht="15.75" customHeight="1">
      <c r="A841">
        <v>843.0</v>
      </c>
      <c r="B841">
        <v>125.0</v>
      </c>
      <c r="C841">
        <v>50.0</v>
      </c>
      <c r="D841">
        <v>3.0</v>
      </c>
      <c r="E841" t="str">
        <f t="shared" si="1"/>
        <v>3.975</v>
      </c>
      <c r="F841">
        <v>2.0</v>
      </c>
      <c r="G841">
        <v>6.0</v>
      </c>
      <c r="H841" t="str">
        <f t="shared" si="2"/>
        <v>12</v>
      </c>
      <c r="I841">
        <v>102.0</v>
      </c>
      <c r="J841" t="str">
        <f t="shared" si="3"/>
        <v>323.85</v>
      </c>
      <c r="K841" t="str">
        <f t="shared" si="4"/>
        <v>884.1105</v>
      </c>
      <c r="L841" t="str">
        <f t="shared" si="5"/>
        <v>7.3675875</v>
      </c>
      <c r="M841" t="str">
        <f t="shared" si="6"/>
        <v>273</v>
      </c>
      <c r="N841" t="s">
        <v>182</v>
      </c>
      <c r="O841" t="s">
        <v>1589</v>
      </c>
      <c r="P841" t="s">
        <v>1590</v>
      </c>
    </row>
    <row r="842" ht="15.75" customHeight="1">
      <c r="A842">
        <v>844.0</v>
      </c>
      <c r="B842">
        <v>140.0</v>
      </c>
      <c r="C842">
        <v>45.0</v>
      </c>
      <c r="D842">
        <v>3.0</v>
      </c>
      <c r="E842" t="str">
        <f t="shared" si="1"/>
        <v>2.625</v>
      </c>
      <c r="F842">
        <v>2.0</v>
      </c>
      <c r="G842">
        <v>7.0</v>
      </c>
      <c r="H842" t="str">
        <f t="shared" si="2"/>
        <v>14</v>
      </c>
      <c r="I842">
        <v>105.0</v>
      </c>
      <c r="J842" t="str">
        <f t="shared" si="3"/>
        <v>333.375</v>
      </c>
      <c r="K842" t="str">
        <f t="shared" si="4"/>
        <v>1010.12625</v>
      </c>
      <c r="L842" t="str">
        <f t="shared" si="5"/>
        <v>7.2151875</v>
      </c>
      <c r="M842" t="str">
        <f t="shared" si="6"/>
        <v>303</v>
      </c>
      <c r="N842" t="s">
        <v>182</v>
      </c>
      <c r="O842" t="s">
        <v>1591</v>
      </c>
      <c r="P842" t="s">
        <v>1592</v>
      </c>
    </row>
    <row r="843" ht="15.75" customHeight="1">
      <c r="A843">
        <v>845.0</v>
      </c>
      <c r="B843">
        <v>161.0</v>
      </c>
      <c r="C843">
        <v>55.0</v>
      </c>
      <c r="D843">
        <v>3.0</v>
      </c>
      <c r="E843" t="str">
        <f t="shared" si="1"/>
        <v>3.208333333</v>
      </c>
      <c r="F843">
        <v>2.0</v>
      </c>
      <c r="G843">
        <v>6.0</v>
      </c>
      <c r="H843" t="str">
        <f t="shared" si="2"/>
        <v>12</v>
      </c>
      <c r="I843">
        <v>110.0</v>
      </c>
      <c r="J843" t="str">
        <f t="shared" si="3"/>
        <v>349.25</v>
      </c>
      <c r="K843" t="str">
        <f t="shared" si="4"/>
        <v>1204.9125</v>
      </c>
      <c r="L843" t="str">
        <f t="shared" si="5"/>
        <v>10.0409375</v>
      </c>
      <c r="M843" t="str">
        <f t="shared" si="6"/>
        <v>345</v>
      </c>
      <c r="N843" t="s">
        <v>182</v>
      </c>
      <c r="O843" t="s">
        <v>1593</v>
      </c>
      <c r="P843" t="s">
        <v>1594</v>
      </c>
    </row>
    <row r="844" ht="15.75" customHeight="1">
      <c r="A844">
        <v>846.0</v>
      </c>
      <c r="B844">
        <v>130.0</v>
      </c>
      <c r="C844">
        <v>40.0</v>
      </c>
      <c r="D844">
        <v>3.0</v>
      </c>
      <c r="E844" t="str">
        <f t="shared" si="1"/>
        <v>2.8625</v>
      </c>
      <c r="F844">
        <v>2.0</v>
      </c>
      <c r="G844">
        <v>8.0</v>
      </c>
      <c r="H844" t="str">
        <f t="shared" si="2"/>
        <v>16</v>
      </c>
      <c r="I844">
        <v>108.0</v>
      </c>
      <c r="J844" t="str">
        <f t="shared" si="3"/>
        <v>342.9</v>
      </c>
      <c r="K844" t="str">
        <f t="shared" si="4"/>
        <v>970.407</v>
      </c>
      <c r="L844" t="str">
        <f t="shared" si="5"/>
        <v>6.06504375</v>
      </c>
      <c r="M844" t="str">
        <f t="shared" si="6"/>
        <v>283</v>
      </c>
      <c r="N844" t="s">
        <v>182</v>
      </c>
      <c r="O844" t="s">
        <v>1595</v>
      </c>
      <c r="P844" t="s">
        <v>1596</v>
      </c>
    </row>
    <row r="845" ht="15.75" customHeight="1">
      <c r="A845">
        <v>847.0</v>
      </c>
      <c r="B845">
        <v>125.0</v>
      </c>
      <c r="C845">
        <v>32.0</v>
      </c>
      <c r="D845">
        <v>3.0</v>
      </c>
      <c r="E845" t="str">
        <f t="shared" si="1"/>
        <v>2.925</v>
      </c>
      <c r="F845">
        <v>2.0</v>
      </c>
      <c r="G845">
        <v>8.0</v>
      </c>
      <c r="H845" t="str">
        <f t="shared" si="2"/>
        <v>16</v>
      </c>
      <c r="I845">
        <v>88.0</v>
      </c>
      <c r="J845" t="str">
        <f t="shared" si="3"/>
        <v>279.4</v>
      </c>
      <c r="K845" t="str">
        <f t="shared" si="4"/>
        <v>762.762</v>
      </c>
      <c r="L845" t="str">
        <f t="shared" si="5"/>
        <v>4.7672625</v>
      </c>
      <c r="M845" t="str">
        <f t="shared" si="6"/>
        <v>273</v>
      </c>
      <c r="N845" t="s">
        <v>182</v>
      </c>
      <c r="O845" t="s">
        <v>1597</v>
      </c>
      <c r="P845" t="s">
        <v>1598</v>
      </c>
    </row>
    <row r="846" ht="15.75" customHeight="1">
      <c r="A846">
        <v>848.0</v>
      </c>
      <c r="B846">
        <v>46.0</v>
      </c>
      <c r="C846">
        <v>238.0</v>
      </c>
      <c r="D846">
        <v>3.0</v>
      </c>
      <c r="E846" t="str">
        <f t="shared" si="1"/>
        <v>4.8875</v>
      </c>
      <c r="F846">
        <v>6.0</v>
      </c>
      <c r="G846">
        <v>2.0</v>
      </c>
      <c r="H846" t="str">
        <f t="shared" si="2"/>
        <v>12</v>
      </c>
      <c r="I846">
        <v>153.0</v>
      </c>
      <c r="J846" t="str">
        <f t="shared" si="3"/>
        <v>485.775</v>
      </c>
      <c r="K846" t="str">
        <f t="shared" si="4"/>
        <v>1510.76025</v>
      </c>
      <c r="L846" t="str">
        <f t="shared" si="5"/>
        <v>12.58966875</v>
      </c>
      <c r="M846" t="str">
        <f t="shared" si="6"/>
        <v>311</v>
      </c>
      <c r="N846" t="s">
        <v>182</v>
      </c>
      <c r="O846" t="s">
        <v>1599</v>
      </c>
      <c r="P846" t="s">
        <v>1600</v>
      </c>
    </row>
    <row r="847" ht="15.75" customHeight="1">
      <c r="A847">
        <v>849.0</v>
      </c>
      <c r="B847">
        <v>55.0</v>
      </c>
      <c r="C847">
        <v>425.0</v>
      </c>
      <c r="D847">
        <v>8.0</v>
      </c>
      <c r="E847" t="str">
        <f t="shared" si="1"/>
        <v>3.625</v>
      </c>
      <c r="F847">
        <v>4.0</v>
      </c>
      <c r="G847">
        <v>1.0</v>
      </c>
      <c r="H847" t="str">
        <f t="shared" si="2"/>
        <v>4</v>
      </c>
      <c r="I847">
        <v>135.0</v>
      </c>
      <c r="J847" t="str">
        <f t="shared" si="3"/>
        <v>428.625</v>
      </c>
      <c r="K847" t="str">
        <f t="shared" si="4"/>
        <v>1153.00125</v>
      </c>
      <c r="L847" t="str">
        <f t="shared" si="5"/>
        <v>28.82503125</v>
      </c>
      <c r="M847" t="str">
        <f t="shared" si="6"/>
        <v>269</v>
      </c>
      <c r="N847" t="s">
        <v>187</v>
      </c>
      <c r="O847" t="s">
        <v>1601</v>
      </c>
      <c r="P847" t="s">
        <v>1602</v>
      </c>
    </row>
    <row r="848" ht="15.75" customHeight="1">
      <c r="A848">
        <v>850.0</v>
      </c>
      <c r="B848">
        <v>118.0</v>
      </c>
      <c r="C848">
        <v>425.0</v>
      </c>
      <c r="D848">
        <v>4.0</v>
      </c>
      <c r="E848" t="str">
        <f t="shared" si="1"/>
        <v>3.625</v>
      </c>
      <c r="F848">
        <v>2.0</v>
      </c>
      <c r="G848">
        <v>1.0</v>
      </c>
      <c r="H848" t="str">
        <f t="shared" si="2"/>
        <v>2</v>
      </c>
      <c r="I848">
        <v>135.0</v>
      </c>
      <c r="J848" t="str">
        <f t="shared" si="3"/>
        <v>428.625</v>
      </c>
      <c r="K848" t="str">
        <f t="shared" si="4"/>
        <v>1118.71125</v>
      </c>
      <c r="L848" t="str">
        <f t="shared" si="5"/>
        <v>55.9355625</v>
      </c>
      <c r="M848" t="str">
        <f t="shared" si="6"/>
        <v>261</v>
      </c>
      <c r="N848" t="s">
        <v>187</v>
      </c>
      <c r="O848" t="s">
        <v>1603</v>
      </c>
      <c r="P848" t="s">
        <v>1604</v>
      </c>
    </row>
    <row r="849" ht="15.75" customHeight="1">
      <c r="A849">
        <v>851.0</v>
      </c>
      <c r="B849">
        <v>77.0</v>
      </c>
      <c r="C849">
        <v>122.0</v>
      </c>
      <c r="D849">
        <v>3.0</v>
      </c>
      <c r="E849" t="str">
        <f t="shared" si="1"/>
        <v>5</v>
      </c>
      <c r="F849">
        <v>3.0</v>
      </c>
      <c r="G849">
        <v>3.0</v>
      </c>
      <c r="H849" t="str">
        <f t="shared" si="2"/>
        <v>9</v>
      </c>
      <c r="I849">
        <v>120.0</v>
      </c>
      <c r="J849" t="str">
        <f t="shared" si="3"/>
        <v>381</v>
      </c>
      <c r="K849" t="str">
        <f t="shared" si="4"/>
        <v>979.17</v>
      </c>
      <c r="L849" t="str">
        <f t="shared" si="5"/>
        <v>10.87966667</v>
      </c>
      <c r="M849" t="str">
        <f t="shared" si="6"/>
        <v>257</v>
      </c>
      <c r="N849" t="s">
        <v>187</v>
      </c>
      <c r="O849" t="s">
        <v>1605</v>
      </c>
      <c r="P849" t="s">
        <v>1606</v>
      </c>
    </row>
    <row r="850" ht="15.75" customHeight="1">
      <c r="A850">
        <v>852.0</v>
      </c>
      <c r="B850">
        <v>67.0</v>
      </c>
      <c r="C850">
        <v>101.0</v>
      </c>
      <c r="D850">
        <v>3.0</v>
      </c>
      <c r="E850" t="str">
        <f t="shared" si="1"/>
        <v>2.716666667</v>
      </c>
      <c r="F850">
        <v>4.0</v>
      </c>
      <c r="G850">
        <v>3.0</v>
      </c>
      <c r="H850" t="str">
        <f t="shared" si="2"/>
        <v>12</v>
      </c>
      <c r="I850">
        <v>98.0</v>
      </c>
      <c r="J850" t="str">
        <f t="shared" si="3"/>
        <v>311.15</v>
      </c>
      <c r="K850" t="str">
        <f t="shared" si="4"/>
        <v>924.1155</v>
      </c>
      <c r="L850" t="str">
        <f t="shared" si="5"/>
        <v>7.7009625</v>
      </c>
      <c r="M850" t="str">
        <f t="shared" si="6"/>
        <v>297</v>
      </c>
      <c r="N850" t="s">
        <v>187</v>
      </c>
      <c r="O850" t="s">
        <v>1607</v>
      </c>
      <c r="P850" t="s">
        <v>1608</v>
      </c>
    </row>
    <row r="851" ht="15.75" customHeight="1">
      <c r="A851">
        <v>853.0</v>
      </c>
      <c r="B851">
        <v>72.0</v>
      </c>
      <c r="C851">
        <v>124.0</v>
      </c>
      <c r="D851">
        <v>3.0</v>
      </c>
      <c r="E851" t="str">
        <f t="shared" si="1"/>
        <v>3</v>
      </c>
      <c r="F851">
        <v>4.0</v>
      </c>
      <c r="G851">
        <v>3.0</v>
      </c>
      <c r="H851" t="str">
        <f t="shared" si="2"/>
        <v>12</v>
      </c>
      <c r="I851">
        <v>120.0</v>
      </c>
      <c r="J851" t="str">
        <f t="shared" si="3"/>
        <v>381</v>
      </c>
      <c r="K851" t="str">
        <f t="shared" si="4"/>
        <v>1207.77</v>
      </c>
      <c r="L851" t="str">
        <f t="shared" si="5"/>
        <v>10.06475</v>
      </c>
      <c r="M851" t="str">
        <f t="shared" si="6"/>
        <v>317</v>
      </c>
      <c r="N851" t="s">
        <v>187</v>
      </c>
      <c r="O851" t="s">
        <v>1609</v>
      </c>
      <c r="P851" t="s">
        <v>1610</v>
      </c>
    </row>
    <row r="852" ht="15.75" customHeight="1">
      <c r="A852">
        <v>854.0</v>
      </c>
      <c r="B852">
        <v>125.0</v>
      </c>
      <c r="C852">
        <v>270.0</v>
      </c>
      <c r="D852">
        <v>3.0</v>
      </c>
      <c r="E852" t="str">
        <f t="shared" si="1"/>
        <v>9.4</v>
      </c>
      <c r="F852">
        <v>2.0</v>
      </c>
      <c r="G852">
        <v>2.0</v>
      </c>
      <c r="H852" t="str">
        <f t="shared" si="2"/>
        <v>4</v>
      </c>
      <c r="I852">
        <v>176.0</v>
      </c>
      <c r="J852" t="str">
        <f t="shared" si="3"/>
        <v>558.8</v>
      </c>
      <c r="K852" t="str">
        <f t="shared" si="4"/>
        <v>1525.524</v>
      </c>
      <c r="L852" t="str">
        <f t="shared" si="5"/>
        <v>38.1381</v>
      </c>
      <c r="M852" t="str">
        <f t="shared" si="6"/>
        <v>273</v>
      </c>
      <c r="N852" t="s">
        <v>187</v>
      </c>
      <c r="O852" t="s">
        <v>1611</v>
      </c>
      <c r="P852" t="s">
        <v>1612</v>
      </c>
    </row>
    <row r="853" ht="15.75" customHeight="1">
      <c r="A853">
        <v>855.0</v>
      </c>
      <c r="B853">
        <v>101.0</v>
      </c>
      <c r="C853">
        <v>121.0</v>
      </c>
      <c r="D853">
        <v>3.0</v>
      </c>
      <c r="E853" t="str">
        <f t="shared" si="1"/>
        <v>6</v>
      </c>
      <c r="F853">
        <v>4.0</v>
      </c>
      <c r="G853">
        <v>3.0</v>
      </c>
      <c r="H853" t="str">
        <f t="shared" si="2"/>
        <v>12</v>
      </c>
      <c r="I853">
        <v>120.0</v>
      </c>
      <c r="J853" t="str">
        <f t="shared" si="3"/>
        <v>381</v>
      </c>
      <c r="K853" t="str">
        <f t="shared" si="4"/>
        <v>1649.73</v>
      </c>
      <c r="L853" t="str">
        <f t="shared" si="5"/>
        <v>13.74775</v>
      </c>
      <c r="M853" t="str">
        <f t="shared" si="6"/>
        <v>433</v>
      </c>
      <c r="N853" t="s">
        <v>187</v>
      </c>
      <c r="O853" t="s">
        <v>1613</v>
      </c>
      <c r="P853" t="s">
        <v>1614</v>
      </c>
    </row>
    <row r="854" ht="15.75" customHeight="1">
      <c r="A854">
        <v>856.0</v>
      </c>
      <c r="B854">
        <v>39.0</v>
      </c>
      <c r="C854">
        <v>205.0</v>
      </c>
      <c r="D854">
        <v>3.0</v>
      </c>
      <c r="E854" t="str">
        <f t="shared" si="1"/>
        <v>9.3125</v>
      </c>
      <c r="F854">
        <v>9.0</v>
      </c>
      <c r="G854">
        <v>2.0</v>
      </c>
      <c r="H854" t="str">
        <f t="shared" si="2"/>
        <v>18</v>
      </c>
      <c r="I854">
        <v>135.0</v>
      </c>
      <c r="J854" t="str">
        <f t="shared" si="3"/>
        <v>428.625</v>
      </c>
      <c r="K854" t="str">
        <f t="shared" si="4"/>
        <v>1693.06875</v>
      </c>
      <c r="L854" t="str">
        <f t="shared" si="5"/>
        <v>9.4059375</v>
      </c>
      <c r="M854" t="str">
        <f t="shared" si="6"/>
        <v>395</v>
      </c>
      <c r="N854" t="s">
        <v>182</v>
      </c>
      <c r="O854" t="s">
        <v>1615</v>
      </c>
      <c r="P854" t="s">
        <v>1616</v>
      </c>
    </row>
    <row r="855" ht="15.75" customHeight="1">
      <c r="A855">
        <v>857.0</v>
      </c>
      <c r="B855">
        <v>165.0</v>
      </c>
      <c r="C855">
        <v>115.0</v>
      </c>
      <c r="D855">
        <v>5.0</v>
      </c>
      <c r="E855" t="str">
        <f t="shared" si="1"/>
        <v>6.44375</v>
      </c>
      <c r="F855">
        <v>2.0</v>
      </c>
      <c r="G855">
        <v>4.0</v>
      </c>
      <c r="H855" t="str">
        <f t="shared" si="2"/>
        <v>8</v>
      </c>
      <c r="I855">
        <v>153.0</v>
      </c>
      <c r="J855" t="str">
        <f t="shared" si="3"/>
        <v>485.775</v>
      </c>
      <c r="K855" t="str">
        <f t="shared" si="4"/>
        <v>1734.21675</v>
      </c>
      <c r="L855" t="str">
        <f t="shared" si="5"/>
        <v>21.67770938</v>
      </c>
      <c r="M855" t="str">
        <f t="shared" si="6"/>
        <v>357</v>
      </c>
      <c r="N855" t="s">
        <v>187</v>
      </c>
      <c r="O855" t="s">
        <v>1617</v>
      </c>
      <c r="P855" t="s">
        <v>1618</v>
      </c>
    </row>
    <row r="856" ht="15.75" customHeight="1">
      <c r="A856">
        <v>858.0</v>
      </c>
      <c r="B856">
        <v>60.0</v>
      </c>
      <c r="C856">
        <v>115.0</v>
      </c>
      <c r="D856">
        <v>3.0</v>
      </c>
      <c r="E856" t="str">
        <f t="shared" si="1"/>
        <v>2.475</v>
      </c>
      <c r="F856">
        <v>6.0</v>
      </c>
      <c r="G856">
        <v>4.0</v>
      </c>
      <c r="H856" t="str">
        <f t="shared" si="2"/>
        <v>24</v>
      </c>
      <c r="I856">
        <v>148.0</v>
      </c>
      <c r="J856" t="str">
        <f t="shared" si="3"/>
        <v>469.9</v>
      </c>
      <c r="K856" t="str">
        <f t="shared" si="4"/>
        <v>1856.105</v>
      </c>
      <c r="L856" t="str">
        <f t="shared" si="5"/>
        <v>7.733770833</v>
      </c>
      <c r="M856" t="str">
        <f t="shared" si="6"/>
        <v>395</v>
      </c>
      <c r="N856" t="s">
        <v>187</v>
      </c>
      <c r="O856" t="s">
        <v>1619</v>
      </c>
      <c r="P856" t="s">
        <v>1620</v>
      </c>
    </row>
    <row r="857" ht="15.75" customHeight="1">
      <c r="A857">
        <v>859.0</v>
      </c>
      <c r="B857">
        <v>143.0</v>
      </c>
      <c r="C857">
        <v>143.0</v>
      </c>
      <c r="D857">
        <v>3.0</v>
      </c>
      <c r="E857" t="str">
        <f t="shared" si="1"/>
        <v>9.4</v>
      </c>
      <c r="F857">
        <v>2.0</v>
      </c>
      <c r="G857">
        <v>2.0</v>
      </c>
      <c r="H857" t="str">
        <f t="shared" si="2"/>
        <v>4</v>
      </c>
      <c r="I857">
        <v>96.0</v>
      </c>
      <c r="J857" t="str">
        <f t="shared" si="3"/>
        <v>304.8</v>
      </c>
      <c r="K857" t="str">
        <f t="shared" si="4"/>
        <v>941.832</v>
      </c>
      <c r="L857" t="str">
        <f t="shared" si="5"/>
        <v>23.5458</v>
      </c>
      <c r="M857" t="str">
        <f t="shared" si="6"/>
        <v>309</v>
      </c>
      <c r="N857" t="s">
        <v>182</v>
      </c>
      <c r="O857" t="s">
        <v>1621</v>
      </c>
      <c r="P857" t="s">
        <v>1622</v>
      </c>
    </row>
    <row r="858" ht="15.75" customHeight="1">
      <c r="A858">
        <v>860.0</v>
      </c>
      <c r="B858">
        <v>100.0</v>
      </c>
      <c r="C858">
        <v>120.0</v>
      </c>
      <c r="D858">
        <v>3.0</v>
      </c>
      <c r="E858" t="str">
        <f t="shared" si="1"/>
        <v>7</v>
      </c>
      <c r="F858">
        <v>3.0</v>
      </c>
      <c r="G858">
        <v>3.0</v>
      </c>
      <c r="H858" t="str">
        <f t="shared" si="2"/>
        <v>9</v>
      </c>
      <c r="I858">
        <v>120.0</v>
      </c>
      <c r="J858" t="str">
        <f t="shared" si="3"/>
        <v>381</v>
      </c>
      <c r="K858" t="str">
        <f t="shared" si="4"/>
        <v>1242.06</v>
      </c>
      <c r="L858" t="str">
        <f t="shared" si="5"/>
        <v>13.80066667</v>
      </c>
      <c r="M858" t="str">
        <f t="shared" si="6"/>
        <v>326</v>
      </c>
      <c r="N858" t="s">
        <v>182</v>
      </c>
      <c r="O858" t="s">
        <v>1623</v>
      </c>
      <c r="P858" s="126" t="s">
        <v>1624</v>
      </c>
    </row>
    <row r="859" ht="15.75" customHeight="1">
      <c r="A859">
        <v>861.0</v>
      </c>
      <c r="B859">
        <v>30.0</v>
      </c>
      <c r="C859">
        <v>275.0</v>
      </c>
      <c r="D859">
        <v>3.0</v>
      </c>
      <c r="E859" t="str">
        <f t="shared" si="1"/>
        <v>4.4</v>
      </c>
      <c r="F859">
        <v>9.0</v>
      </c>
      <c r="G859">
        <v>1.0</v>
      </c>
      <c r="H859" t="str">
        <f t="shared" si="2"/>
        <v>9</v>
      </c>
      <c r="I859">
        <v>88.0</v>
      </c>
      <c r="J859" t="str">
        <f t="shared" si="3"/>
        <v>279.4</v>
      </c>
      <c r="K859" t="str">
        <f t="shared" si="4"/>
        <v>877.316</v>
      </c>
      <c r="L859" t="str">
        <f t="shared" si="5"/>
        <v>9.747955556</v>
      </c>
      <c r="M859" t="str">
        <f t="shared" si="6"/>
        <v>314</v>
      </c>
      <c r="N859" t="s">
        <v>187</v>
      </c>
      <c r="O859" t="s">
        <v>1625</v>
      </c>
      <c r="P859" t="s">
        <v>1626</v>
      </c>
    </row>
    <row r="860" ht="15.75" customHeight="1">
      <c r="A860">
        <v>862.0</v>
      </c>
      <c r="B860">
        <v>60.0</v>
      </c>
      <c r="C860">
        <v>54.0</v>
      </c>
      <c r="D860">
        <v>3.0</v>
      </c>
      <c r="E860" t="str">
        <f t="shared" si="1"/>
        <v>3.15</v>
      </c>
      <c r="F860">
        <v>2.0</v>
      </c>
      <c r="G860">
        <v>5.0</v>
      </c>
      <c r="H860" t="str">
        <f t="shared" si="2"/>
        <v>10</v>
      </c>
      <c r="I860">
        <v>90.0</v>
      </c>
      <c r="J860" t="str">
        <f t="shared" si="3"/>
        <v>285.75</v>
      </c>
      <c r="K860" t="str">
        <f t="shared" si="4"/>
        <v>408.6225</v>
      </c>
      <c r="L860" t="str">
        <f t="shared" si="5"/>
        <v>4.086225</v>
      </c>
      <c r="M860" t="str">
        <f t="shared" si="6"/>
        <v>143</v>
      </c>
      <c r="N860" t="s">
        <v>187</v>
      </c>
      <c r="O860" t="s">
        <v>1627</v>
      </c>
      <c r="P860" t="s">
        <v>1628</v>
      </c>
    </row>
    <row r="861" ht="15.75" customHeight="1">
      <c r="A861">
        <v>863.0</v>
      </c>
      <c r="B861">
        <v>50.0</v>
      </c>
      <c r="C861">
        <v>35.0</v>
      </c>
      <c r="D861">
        <v>3.0</v>
      </c>
      <c r="E861" t="str">
        <f t="shared" si="1"/>
        <v>3.1</v>
      </c>
      <c r="F861">
        <v>6.0</v>
      </c>
      <c r="G861">
        <v>8.0</v>
      </c>
      <c r="H861" t="str">
        <f t="shared" si="2"/>
        <v>48</v>
      </c>
      <c r="I861">
        <v>96.0</v>
      </c>
      <c r="J861" t="str">
        <f t="shared" si="3"/>
        <v>304.8</v>
      </c>
      <c r="K861" t="str">
        <f t="shared" si="4"/>
        <v>1021.08</v>
      </c>
      <c r="L861" t="str">
        <f t="shared" si="5"/>
        <v>2.12725</v>
      </c>
      <c r="M861" t="str">
        <f t="shared" si="6"/>
        <v>335</v>
      </c>
      <c r="N861" t="s">
        <v>187</v>
      </c>
      <c r="O861" t="s">
        <v>1629</v>
      </c>
      <c r="P861" t="s">
        <v>1630</v>
      </c>
    </row>
    <row r="862" ht="15.75" customHeight="1">
      <c r="A862">
        <v>864.0</v>
      </c>
      <c r="B862">
        <v>155.0</v>
      </c>
      <c r="C862">
        <v>60.0</v>
      </c>
      <c r="D862">
        <v>3.0</v>
      </c>
      <c r="E862" t="str">
        <f t="shared" si="1"/>
        <v>3.5</v>
      </c>
      <c r="F862">
        <v>2.0</v>
      </c>
      <c r="G862">
        <v>6.0</v>
      </c>
      <c r="H862" t="str">
        <f t="shared" si="2"/>
        <v>12</v>
      </c>
      <c r="I862">
        <v>120.0</v>
      </c>
      <c r="J862" t="str">
        <f t="shared" si="3"/>
        <v>381</v>
      </c>
      <c r="K862" t="str">
        <f t="shared" si="4"/>
        <v>1268.73</v>
      </c>
      <c r="L862" t="str">
        <f t="shared" si="5"/>
        <v>10.57275</v>
      </c>
      <c r="M862" t="str">
        <f t="shared" si="6"/>
        <v>333</v>
      </c>
      <c r="N862" t="s">
        <v>187</v>
      </c>
      <c r="O862" t="s">
        <v>1631</v>
      </c>
      <c r="P862" t="s">
        <v>1567</v>
      </c>
    </row>
    <row r="863" ht="15.75" customHeight="1">
      <c r="A863">
        <v>865.0</v>
      </c>
      <c r="B863">
        <v>112.0</v>
      </c>
      <c r="C863">
        <v>73.0</v>
      </c>
      <c r="D863">
        <v>3.0</v>
      </c>
      <c r="E863" t="str">
        <f t="shared" si="1"/>
        <v>3.2</v>
      </c>
      <c r="F863">
        <v>3.0</v>
      </c>
      <c r="G863">
        <v>4.0</v>
      </c>
      <c r="H863" t="str">
        <f t="shared" si="2"/>
        <v>12</v>
      </c>
      <c r="I863">
        <v>96.0</v>
      </c>
      <c r="J863" t="str">
        <f t="shared" si="3"/>
        <v>304.8</v>
      </c>
      <c r="K863" t="str">
        <f t="shared" si="4"/>
        <v>1103.376</v>
      </c>
      <c r="L863" t="str">
        <f t="shared" si="5"/>
        <v>9.1948</v>
      </c>
      <c r="M863" t="str">
        <f t="shared" si="6"/>
        <v>362</v>
      </c>
      <c r="N863" t="s">
        <v>187</v>
      </c>
      <c r="O863" t="s">
        <v>1632</v>
      </c>
      <c r="P863" t="s">
        <v>1633</v>
      </c>
    </row>
    <row r="864" ht="15.75" customHeight="1">
      <c r="A864">
        <v>866.0</v>
      </c>
      <c r="B864">
        <v>73.0</v>
      </c>
      <c r="C864">
        <v>280.0</v>
      </c>
      <c r="D864">
        <v>3.0</v>
      </c>
      <c r="E864" t="str">
        <f t="shared" si="1"/>
        <v>5.75</v>
      </c>
      <c r="F864">
        <v>4.0</v>
      </c>
      <c r="G864">
        <v>1.0</v>
      </c>
      <c r="H864" t="str">
        <f t="shared" si="2"/>
        <v>4</v>
      </c>
      <c r="I864">
        <v>90.0</v>
      </c>
      <c r="J864" t="str">
        <f t="shared" si="3"/>
        <v>285.75</v>
      </c>
      <c r="K864" t="str">
        <f t="shared" si="4"/>
        <v>917.2575</v>
      </c>
      <c r="L864" t="str">
        <f t="shared" si="5"/>
        <v>22.9314375</v>
      </c>
      <c r="M864" t="str">
        <f t="shared" si="6"/>
        <v>321</v>
      </c>
      <c r="N864" t="s">
        <v>182</v>
      </c>
      <c r="O864" t="s">
        <v>1634</v>
      </c>
      <c r="P864" t="s">
        <v>1635</v>
      </c>
    </row>
    <row r="865" ht="15.75" customHeight="1">
      <c r="A865">
        <v>867.0</v>
      </c>
      <c r="B865">
        <v>183.0</v>
      </c>
      <c r="C865">
        <v>130.0</v>
      </c>
      <c r="D865">
        <v>4.0</v>
      </c>
      <c r="E865" t="str">
        <f t="shared" si="1"/>
        <v>3.35</v>
      </c>
      <c r="F865">
        <v>2.0</v>
      </c>
      <c r="G865">
        <v>3.0</v>
      </c>
      <c r="H865" t="str">
        <f t="shared" si="2"/>
        <v>6</v>
      </c>
      <c r="I865">
        <v>126.0</v>
      </c>
      <c r="J865" t="str">
        <f t="shared" si="3"/>
        <v>400.05</v>
      </c>
      <c r="K865" t="str">
        <f t="shared" si="4"/>
        <v>1564.1955</v>
      </c>
      <c r="L865" t="str">
        <f t="shared" si="5"/>
        <v>26.069925</v>
      </c>
      <c r="M865" t="str">
        <f t="shared" si="6"/>
        <v>391</v>
      </c>
      <c r="N865" t="s">
        <v>182</v>
      </c>
      <c r="O865" t="s">
        <v>1636</v>
      </c>
      <c r="P865" t="s">
        <v>1637</v>
      </c>
    </row>
    <row r="866" ht="15.75" customHeight="1">
      <c r="A866">
        <v>868.0</v>
      </c>
      <c r="B866">
        <v>33.655</v>
      </c>
      <c r="C866">
        <v>96.0</v>
      </c>
      <c r="D866">
        <v>3.0</v>
      </c>
      <c r="E866" t="str">
        <f t="shared" si="1"/>
        <v>4.0125</v>
      </c>
      <c r="F866">
        <v>8.0</v>
      </c>
      <c r="G866">
        <v>4.0</v>
      </c>
      <c r="H866" t="str">
        <f t="shared" si="2"/>
        <v>32</v>
      </c>
      <c r="I866">
        <v>126.0</v>
      </c>
      <c r="J866" t="str">
        <f t="shared" si="3"/>
        <v>400.05</v>
      </c>
      <c r="K866" t="str">
        <f t="shared" si="4"/>
        <v>1241.11512</v>
      </c>
      <c r="L866" t="str">
        <f t="shared" si="5"/>
        <v>3.87848475</v>
      </c>
      <c r="M866" t="str">
        <f t="shared" si="6"/>
        <v>310.24</v>
      </c>
      <c r="N866" t="s">
        <v>182</v>
      </c>
      <c r="O866" t="s">
        <v>1638</v>
      </c>
      <c r="P866" t="s">
        <v>1639</v>
      </c>
    </row>
    <row r="867" ht="15.75" customHeight="1">
      <c r="A867">
        <v>869.0</v>
      </c>
      <c r="B867">
        <v>86.0</v>
      </c>
      <c r="C867">
        <v>38.0</v>
      </c>
      <c r="D867">
        <v>3.0</v>
      </c>
      <c r="E867" t="str">
        <f t="shared" si="1"/>
        <v>2.821428571</v>
      </c>
      <c r="F867">
        <v>2.0</v>
      </c>
      <c r="G867">
        <v>7.0</v>
      </c>
      <c r="H867" t="str">
        <f t="shared" si="2"/>
        <v>14</v>
      </c>
      <c r="I867">
        <v>90.0</v>
      </c>
      <c r="J867" t="str">
        <f t="shared" si="3"/>
        <v>285.75</v>
      </c>
      <c r="K867" t="str">
        <f t="shared" si="4"/>
        <v>557.2125</v>
      </c>
      <c r="L867" t="str">
        <f t="shared" si="5"/>
        <v>3.980089286</v>
      </c>
      <c r="M867" t="str">
        <f t="shared" si="6"/>
        <v>195</v>
      </c>
      <c r="N867" t="s">
        <v>182</v>
      </c>
      <c r="O867" t="s">
        <v>1640</v>
      </c>
      <c r="P867" t="s">
        <v>1641</v>
      </c>
    </row>
    <row r="868" ht="15.75" customHeight="1">
      <c r="A868">
        <v>870.0</v>
      </c>
      <c r="B868">
        <v>54.0</v>
      </c>
      <c r="C868">
        <v>34.5</v>
      </c>
      <c r="D868">
        <v>3.0</v>
      </c>
      <c r="E868" t="str">
        <f t="shared" si="1"/>
        <v>2.541666667</v>
      </c>
      <c r="F868">
        <v>4.0</v>
      </c>
      <c r="G868">
        <v>9.0</v>
      </c>
      <c r="H868" t="str">
        <f t="shared" si="2"/>
        <v>36</v>
      </c>
      <c r="I868">
        <v>105.0</v>
      </c>
      <c r="J868" t="str">
        <f t="shared" si="3"/>
        <v>333.375</v>
      </c>
      <c r="K868" t="str">
        <f t="shared" si="4"/>
        <v>816.76875</v>
      </c>
      <c r="L868" t="str">
        <f t="shared" si="5"/>
        <v>2.268802083</v>
      </c>
      <c r="M868" t="str">
        <f t="shared" si="6"/>
        <v>245</v>
      </c>
      <c r="N868" t="s">
        <v>187</v>
      </c>
      <c r="O868" t="s">
        <v>1642</v>
      </c>
      <c r="P868" t="s">
        <v>1643</v>
      </c>
    </row>
    <row r="869" ht="15.75" customHeight="1">
      <c r="A869">
        <v>871.0</v>
      </c>
      <c r="B869">
        <v>60.0</v>
      </c>
      <c r="C869">
        <v>170.0</v>
      </c>
      <c r="D869">
        <v>3.0</v>
      </c>
      <c r="E869" t="str">
        <f t="shared" si="1"/>
        <v>4.625</v>
      </c>
      <c r="F869">
        <v>6.0</v>
      </c>
      <c r="G869">
        <v>3.0</v>
      </c>
      <c r="H869" t="str">
        <f t="shared" si="2"/>
        <v>18</v>
      </c>
      <c r="I869">
        <v>165.0</v>
      </c>
      <c r="J869" t="str">
        <f t="shared" si="3"/>
        <v>523.875</v>
      </c>
      <c r="K869" t="str">
        <f t="shared" si="4"/>
        <v>2069.30625</v>
      </c>
      <c r="L869" t="str">
        <f t="shared" si="5"/>
        <v>11.49614583</v>
      </c>
      <c r="M869" t="str">
        <f t="shared" si="6"/>
        <v>395</v>
      </c>
      <c r="N869" t="s">
        <v>182</v>
      </c>
      <c r="O869" t="s">
        <v>1644</v>
      </c>
      <c r="P869" t="s">
        <v>1645</v>
      </c>
    </row>
    <row r="870" ht="15.75" customHeight="1">
      <c r="A870">
        <v>872.0</v>
      </c>
      <c r="B870">
        <v>120.0</v>
      </c>
      <c r="C870">
        <v>62.0</v>
      </c>
      <c r="D870">
        <v>3.0</v>
      </c>
      <c r="E870" t="str">
        <f t="shared" si="1"/>
        <v>4.675</v>
      </c>
      <c r="F870">
        <v>2.0</v>
      </c>
      <c r="G870">
        <v>5.0</v>
      </c>
      <c r="H870" t="str">
        <f t="shared" si="2"/>
        <v>10</v>
      </c>
      <c r="I870">
        <v>105.0</v>
      </c>
      <c r="J870" t="str">
        <f t="shared" si="3"/>
        <v>333.375</v>
      </c>
      <c r="K870" t="str">
        <f t="shared" si="4"/>
        <v>876.77625</v>
      </c>
      <c r="L870" t="str">
        <f t="shared" si="5"/>
        <v>8.7677625</v>
      </c>
      <c r="M870" t="str">
        <f t="shared" si="6"/>
        <v>263</v>
      </c>
      <c r="N870" t="s">
        <v>182</v>
      </c>
      <c r="O870" t="s">
        <v>1646</v>
      </c>
      <c r="P870" t="s">
        <v>1647</v>
      </c>
    </row>
    <row r="871" ht="15.75" customHeight="1">
      <c r="A871">
        <v>873.0</v>
      </c>
      <c r="B871">
        <v>129.0</v>
      </c>
      <c r="C871">
        <v>300.0</v>
      </c>
      <c r="D871">
        <v>3.0</v>
      </c>
      <c r="E871" t="str">
        <f t="shared" si="1"/>
        <v>4.8</v>
      </c>
      <c r="F871">
        <v>2.0</v>
      </c>
      <c r="G871">
        <v>1.0</v>
      </c>
      <c r="H871" t="str">
        <f t="shared" si="2"/>
        <v>2</v>
      </c>
      <c r="I871">
        <v>96.0</v>
      </c>
      <c r="J871" t="str">
        <f t="shared" si="3"/>
        <v>304.8</v>
      </c>
      <c r="K871" t="str">
        <f t="shared" si="4"/>
        <v>856.488</v>
      </c>
      <c r="L871" t="str">
        <f t="shared" si="5"/>
        <v>42.8244</v>
      </c>
      <c r="M871" t="str">
        <f t="shared" si="6"/>
        <v>281</v>
      </c>
      <c r="N871" t="s">
        <v>182</v>
      </c>
      <c r="O871" t="s">
        <v>1648</v>
      </c>
      <c r="P871" s="126" t="s">
        <v>1649</v>
      </c>
    </row>
    <row r="872" ht="15.75" customHeight="1">
      <c r="A872">
        <v>874.0</v>
      </c>
      <c r="B872">
        <v>24.0</v>
      </c>
      <c r="C872">
        <v>91.0</v>
      </c>
      <c r="D872">
        <v>3.0</v>
      </c>
      <c r="E872" t="str">
        <f t="shared" si="1"/>
        <v>4.25</v>
      </c>
      <c r="F872">
        <v>10.0</v>
      </c>
      <c r="G872">
        <v>3.0</v>
      </c>
      <c r="H872" t="str">
        <f t="shared" si="2"/>
        <v>30</v>
      </c>
      <c r="I872">
        <v>90.0</v>
      </c>
      <c r="J872" t="str">
        <f t="shared" si="3"/>
        <v>285.75</v>
      </c>
      <c r="K872" t="str">
        <f t="shared" si="4"/>
        <v>820.1025</v>
      </c>
      <c r="L872" t="str">
        <f t="shared" si="5"/>
        <v>2.733675</v>
      </c>
      <c r="M872" t="str">
        <f t="shared" si="6"/>
        <v>287</v>
      </c>
      <c r="N872" t="s">
        <v>182</v>
      </c>
      <c r="O872" t="s">
        <v>1650</v>
      </c>
      <c r="P872" s="126" t="s">
        <v>1651</v>
      </c>
    </row>
    <row r="873" ht="15.75" customHeight="1">
      <c r="A873">
        <v>875.0</v>
      </c>
      <c r="B873">
        <v>28.0</v>
      </c>
      <c r="C873">
        <v>130.0</v>
      </c>
      <c r="D873">
        <v>3.0</v>
      </c>
      <c r="E873" t="str">
        <f t="shared" si="1"/>
        <v>3.35</v>
      </c>
      <c r="F873">
        <v>12.0</v>
      </c>
      <c r="G873">
        <v>3.0</v>
      </c>
      <c r="H873" t="str">
        <f t="shared" si="2"/>
        <v>36</v>
      </c>
      <c r="I873">
        <v>126.0</v>
      </c>
      <c r="J873" t="str">
        <f t="shared" si="3"/>
        <v>400.05</v>
      </c>
      <c r="K873" t="str">
        <f t="shared" si="4"/>
        <v>1556.1945</v>
      </c>
      <c r="L873" t="str">
        <f t="shared" si="5"/>
        <v>4.3227625</v>
      </c>
      <c r="M873" t="str">
        <f t="shared" si="6"/>
        <v>389</v>
      </c>
      <c r="N873" t="s">
        <v>182</v>
      </c>
      <c r="O873" t="s">
        <v>1652</v>
      </c>
      <c r="P873" s="126" t="s">
        <v>1653</v>
      </c>
    </row>
    <row r="874" ht="15.75" customHeight="1">
      <c r="A874">
        <v>876.0</v>
      </c>
      <c r="B874">
        <v>42.0</v>
      </c>
      <c r="C874">
        <v>140.0</v>
      </c>
      <c r="D874">
        <v>3.0</v>
      </c>
      <c r="E874" t="str">
        <f t="shared" si="1"/>
        <v>2.875</v>
      </c>
      <c r="F874">
        <v>6.0</v>
      </c>
      <c r="G874">
        <v>2.0</v>
      </c>
      <c r="H874" t="str">
        <f t="shared" si="2"/>
        <v>12</v>
      </c>
      <c r="I874">
        <v>90.0</v>
      </c>
      <c r="J874" t="str">
        <f t="shared" si="3"/>
        <v>285.75</v>
      </c>
      <c r="K874" t="str">
        <f t="shared" si="4"/>
        <v>820.1025</v>
      </c>
      <c r="L874" t="str">
        <f t="shared" si="5"/>
        <v>6.8341875</v>
      </c>
      <c r="M874" t="str">
        <f t="shared" si="6"/>
        <v>287</v>
      </c>
      <c r="N874" t="s">
        <v>182</v>
      </c>
      <c r="O874" t="s">
        <v>1654</v>
      </c>
      <c r="P874" s="126" t="s">
        <v>1655</v>
      </c>
    </row>
    <row r="875" ht="15.75" customHeight="1">
      <c r="A875">
        <v>877.0</v>
      </c>
      <c r="B875">
        <v>96.0</v>
      </c>
      <c r="C875">
        <v>150.0</v>
      </c>
      <c r="D875">
        <v>3.0</v>
      </c>
      <c r="E875" t="str">
        <f t="shared" si="1"/>
        <v>2.4</v>
      </c>
      <c r="F875">
        <v>3.0</v>
      </c>
      <c r="G875">
        <v>2.0</v>
      </c>
      <c r="H875" t="str">
        <f t="shared" si="2"/>
        <v>6</v>
      </c>
      <c r="I875">
        <v>96.0</v>
      </c>
      <c r="J875" t="str">
        <f t="shared" si="3"/>
        <v>304.8</v>
      </c>
      <c r="K875" t="str">
        <f t="shared" si="4"/>
        <v>957.072</v>
      </c>
      <c r="L875" t="str">
        <f t="shared" si="5"/>
        <v>15.9512</v>
      </c>
      <c r="M875" t="str">
        <f t="shared" si="6"/>
        <v>314</v>
      </c>
      <c r="N875" t="s">
        <v>182</v>
      </c>
      <c r="O875" t="s">
        <v>1656</v>
      </c>
      <c r="P875" s="126" t="s">
        <v>1657</v>
      </c>
    </row>
    <row r="876" ht="15.75" customHeight="1">
      <c r="A876">
        <v>878.0</v>
      </c>
      <c r="B876">
        <v>111.0</v>
      </c>
      <c r="C876">
        <v>175.0</v>
      </c>
      <c r="D876">
        <v>3.0</v>
      </c>
      <c r="E876" t="str">
        <f t="shared" si="1"/>
        <v>15.5</v>
      </c>
      <c r="F876">
        <v>3.0</v>
      </c>
      <c r="G876">
        <v>2.0</v>
      </c>
      <c r="H876" t="str">
        <f t="shared" si="2"/>
        <v>6</v>
      </c>
      <c r="I876">
        <v>120.0</v>
      </c>
      <c r="J876" t="str">
        <f t="shared" si="3"/>
        <v>381</v>
      </c>
      <c r="K876" t="str">
        <f t="shared" si="4"/>
        <v>1367.79</v>
      </c>
      <c r="L876" t="str">
        <f t="shared" si="5"/>
        <v>22.7965</v>
      </c>
      <c r="M876" t="str">
        <f t="shared" si="6"/>
        <v>359</v>
      </c>
      <c r="N876" t="s">
        <v>182</v>
      </c>
      <c r="O876" t="s">
        <v>1658</v>
      </c>
      <c r="P876" s="126" t="s">
        <v>1659</v>
      </c>
    </row>
    <row r="877" ht="15.75" customHeight="1">
      <c r="A877">
        <v>879.0</v>
      </c>
      <c r="B877">
        <v>75.0</v>
      </c>
      <c r="C877">
        <v>110.0</v>
      </c>
      <c r="D877">
        <v>3.0</v>
      </c>
      <c r="E877" t="str">
        <f t="shared" si="1"/>
        <v>4.3</v>
      </c>
      <c r="F877">
        <v>5.0</v>
      </c>
      <c r="G877">
        <v>3.0</v>
      </c>
      <c r="H877" t="str">
        <f t="shared" si="2"/>
        <v>15</v>
      </c>
      <c r="I877">
        <v>108.0</v>
      </c>
      <c r="J877" t="str">
        <f t="shared" si="3"/>
        <v>342.9</v>
      </c>
      <c r="K877" t="str">
        <f t="shared" si="4"/>
        <v>1395.603</v>
      </c>
      <c r="L877" t="str">
        <f t="shared" si="5"/>
        <v>9.30402</v>
      </c>
      <c r="M877" t="str">
        <f t="shared" si="6"/>
        <v>407</v>
      </c>
      <c r="N877" t="s">
        <v>182</v>
      </c>
      <c r="O877" t="s">
        <v>1660</v>
      </c>
      <c r="P877" s="126" t="s">
        <v>1661</v>
      </c>
    </row>
    <row r="878" ht="15.75" customHeight="1">
      <c r="A878">
        <v>880.0</v>
      </c>
      <c r="B878">
        <v>95.0</v>
      </c>
      <c r="C878">
        <v>231.95</v>
      </c>
      <c r="D878">
        <v>3.0</v>
      </c>
      <c r="E878" t="str">
        <f t="shared" si="1"/>
        <v>3</v>
      </c>
      <c r="F878">
        <v>4.0</v>
      </c>
      <c r="G878">
        <v>2.0</v>
      </c>
      <c r="H878" t="str">
        <f t="shared" si="2"/>
        <v>8</v>
      </c>
      <c r="I878">
        <v>148.0</v>
      </c>
      <c r="J878" t="str">
        <f t="shared" si="3"/>
        <v>469.9</v>
      </c>
      <c r="K878" t="str">
        <f t="shared" si="4"/>
        <v>1921.891</v>
      </c>
      <c r="L878" t="str">
        <f t="shared" si="5"/>
        <v>24.0236375</v>
      </c>
      <c r="M878" t="str">
        <f t="shared" si="6"/>
        <v>409</v>
      </c>
      <c r="N878" t="s">
        <v>187</v>
      </c>
      <c r="O878" t="s">
        <v>1662</v>
      </c>
      <c r="P878" t="s">
        <v>1663</v>
      </c>
    </row>
    <row r="879" ht="15.75" customHeight="1">
      <c r="A879">
        <v>881.0</v>
      </c>
      <c r="B879">
        <v>75.0</v>
      </c>
      <c r="C879">
        <v>171.63</v>
      </c>
      <c r="D879">
        <v>3.0</v>
      </c>
      <c r="E879" t="str">
        <f t="shared" si="1"/>
        <v>2.995</v>
      </c>
      <c r="F879">
        <v>3.0</v>
      </c>
      <c r="G879">
        <v>2.0</v>
      </c>
      <c r="H879" t="str">
        <f t="shared" si="2"/>
        <v>6</v>
      </c>
      <c r="I879">
        <v>110.0</v>
      </c>
      <c r="J879" t="str">
        <f t="shared" si="3"/>
        <v>349.25</v>
      </c>
      <c r="K879" t="str">
        <f t="shared" si="4"/>
        <v>876.6175</v>
      </c>
      <c r="L879" t="str">
        <f t="shared" si="5"/>
        <v>14.61029167</v>
      </c>
      <c r="M879" t="str">
        <f t="shared" si="6"/>
        <v>251</v>
      </c>
      <c r="N879" t="s">
        <v>187</v>
      </c>
      <c r="O879" t="s">
        <v>1664</v>
      </c>
      <c r="P879" t="s">
        <v>1663</v>
      </c>
    </row>
    <row r="880" ht="15.75" customHeight="1">
      <c r="A880">
        <v>882.0</v>
      </c>
      <c r="B880">
        <v>47.0</v>
      </c>
      <c r="C880">
        <v>149.4</v>
      </c>
      <c r="D880">
        <v>3.0</v>
      </c>
      <c r="E880" t="str">
        <f t="shared" si="1"/>
        <v>3</v>
      </c>
      <c r="F880">
        <v>7.0</v>
      </c>
      <c r="G880">
        <v>2.0</v>
      </c>
      <c r="H880" t="str">
        <f t="shared" si="2"/>
        <v>14</v>
      </c>
      <c r="I880">
        <v>96.0</v>
      </c>
      <c r="J880" t="str">
        <f t="shared" si="3"/>
        <v>304.8</v>
      </c>
      <c r="K880" t="str">
        <f t="shared" si="4"/>
        <v>1118.616</v>
      </c>
      <c r="L880" t="str">
        <f t="shared" si="5"/>
        <v>7.990114286</v>
      </c>
      <c r="M880" t="str">
        <f t="shared" si="6"/>
        <v>367</v>
      </c>
      <c r="N880" t="s">
        <v>187</v>
      </c>
      <c r="O880" t="s">
        <v>1665</v>
      </c>
      <c r="P880" t="s">
        <v>1663</v>
      </c>
    </row>
    <row r="881" ht="15.75" customHeight="1">
      <c r="A881">
        <v>883.0</v>
      </c>
      <c r="B881">
        <v>75.0</v>
      </c>
      <c r="C881">
        <v>55.0</v>
      </c>
      <c r="D881">
        <v>3.0</v>
      </c>
      <c r="E881" t="str">
        <f t="shared" si="1"/>
        <v>3.208333333</v>
      </c>
      <c r="F881">
        <v>4.0</v>
      </c>
      <c r="G881">
        <v>6.0</v>
      </c>
      <c r="H881" t="str">
        <f t="shared" si="2"/>
        <v>24</v>
      </c>
      <c r="I881">
        <v>110.0</v>
      </c>
      <c r="J881" t="str">
        <f t="shared" si="3"/>
        <v>349.25</v>
      </c>
      <c r="K881" t="str">
        <f t="shared" si="4"/>
        <v>1149.0325</v>
      </c>
      <c r="L881" t="str">
        <f t="shared" si="5"/>
        <v>4.787635417</v>
      </c>
      <c r="M881" t="str">
        <f t="shared" si="6"/>
        <v>329</v>
      </c>
      <c r="N881" t="s">
        <v>187</v>
      </c>
      <c r="O881" t="s">
        <v>1666</v>
      </c>
      <c r="P881" t="s">
        <v>1667</v>
      </c>
    </row>
    <row r="882" ht="15.75" customHeight="1">
      <c r="A882">
        <v>884.0</v>
      </c>
      <c r="B882">
        <v>105.0</v>
      </c>
      <c r="C882">
        <v>300.0</v>
      </c>
      <c r="D882">
        <v>3.0</v>
      </c>
      <c r="E882" t="str">
        <f t="shared" si="1"/>
        <v>4.8</v>
      </c>
      <c r="F882">
        <v>3.0</v>
      </c>
      <c r="G882">
        <v>1.0</v>
      </c>
      <c r="H882" t="str">
        <f t="shared" si="2"/>
        <v>3</v>
      </c>
      <c r="I882">
        <v>96.0</v>
      </c>
      <c r="J882" t="str">
        <f t="shared" si="3"/>
        <v>304.8</v>
      </c>
      <c r="K882" t="str">
        <f t="shared" si="4"/>
        <v>1039.368</v>
      </c>
      <c r="L882" t="str">
        <f t="shared" si="5"/>
        <v>34.6456</v>
      </c>
      <c r="M882" t="str">
        <f t="shared" si="6"/>
        <v>341</v>
      </c>
      <c r="N882" t="s">
        <v>182</v>
      </c>
      <c r="O882" t="s">
        <v>1668</v>
      </c>
      <c r="P882" t="s">
        <v>1669</v>
      </c>
    </row>
    <row r="883" ht="15.75" customHeight="1">
      <c r="A883">
        <v>885.0</v>
      </c>
      <c r="B883">
        <v>72.0</v>
      </c>
      <c r="C883">
        <v>281.0</v>
      </c>
      <c r="D883">
        <v>3.0</v>
      </c>
      <c r="E883" t="str">
        <f t="shared" si="1"/>
        <v>4.75</v>
      </c>
      <c r="F883">
        <v>4.0</v>
      </c>
      <c r="G883">
        <v>1.0</v>
      </c>
      <c r="H883" t="str">
        <f t="shared" si="2"/>
        <v>4</v>
      </c>
      <c r="I883">
        <v>90.0</v>
      </c>
      <c r="J883" t="str">
        <f t="shared" si="3"/>
        <v>285.75</v>
      </c>
      <c r="K883" t="str">
        <f t="shared" si="4"/>
        <v>905.8275</v>
      </c>
      <c r="L883" t="str">
        <f t="shared" si="5"/>
        <v>22.6456875</v>
      </c>
      <c r="M883" t="str">
        <f t="shared" si="6"/>
        <v>317</v>
      </c>
      <c r="N883" t="s">
        <v>187</v>
      </c>
      <c r="O883" t="s">
        <v>1670</v>
      </c>
      <c r="P883" t="s">
        <v>1671</v>
      </c>
    </row>
    <row r="884" ht="15.75" customHeight="1">
      <c r="A884">
        <v>886.0</v>
      </c>
      <c r="B884">
        <v>90.0</v>
      </c>
      <c r="C884">
        <v>50.0</v>
      </c>
      <c r="D884">
        <v>3.0</v>
      </c>
      <c r="E884" t="str">
        <f t="shared" si="1"/>
        <v>4.61</v>
      </c>
      <c r="F884">
        <v>2.0</v>
      </c>
      <c r="G884">
        <v>5.0</v>
      </c>
      <c r="H884" t="str">
        <f t="shared" si="2"/>
        <v>10</v>
      </c>
      <c r="I884">
        <v>86.0</v>
      </c>
      <c r="J884" t="str">
        <f t="shared" si="3"/>
        <v>273.05</v>
      </c>
      <c r="K884" t="str">
        <f t="shared" si="4"/>
        <v>554.2915</v>
      </c>
      <c r="L884" t="str">
        <f t="shared" si="5"/>
        <v>5.542915</v>
      </c>
      <c r="M884" t="str">
        <f t="shared" si="6"/>
        <v>203</v>
      </c>
      <c r="N884" t="s">
        <v>182</v>
      </c>
      <c r="O884" t="s">
        <v>1672</v>
      </c>
      <c r="P884" t="s">
        <v>1673</v>
      </c>
    </row>
    <row r="885" ht="15.75" customHeight="1">
      <c r="A885">
        <v>887.0</v>
      </c>
      <c r="B885">
        <v>80.0</v>
      </c>
      <c r="C885">
        <v>390.0</v>
      </c>
      <c r="D885">
        <v>5.0</v>
      </c>
      <c r="E885" t="str">
        <f t="shared" si="1"/>
        <v>10.05</v>
      </c>
      <c r="F885">
        <v>4.0</v>
      </c>
      <c r="G885">
        <v>1.0</v>
      </c>
      <c r="H885" t="str">
        <f t="shared" si="2"/>
        <v>4</v>
      </c>
      <c r="I885">
        <v>126.0</v>
      </c>
      <c r="J885" t="str">
        <f t="shared" si="3"/>
        <v>400.05</v>
      </c>
      <c r="K885" t="str">
        <f t="shared" si="4"/>
        <v>1428.1785</v>
      </c>
      <c r="L885" t="str">
        <f t="shared" si="5"/>
        <v>35.7044625</v>
      </c>
      <c r="M885" t="str">
        <f t="shared" si="6"/>
        <v>357</v>
      </c>
      <c r="N885" t="s">
        <v>187</v>
      </c>
      <c r="O885" t="s">
        <v>1674</v>
      </c>
      <c r="P885" t="s">
        <v>1675</v>
      </c>
    </row>
    <row r="886" ht="15.75" customHeight="1">
      <c r="A886">
        <v>888.0</v>
      </c>
      <c r="B886">
        <v>120.0</v>
      </c>
      <c r="C886">
        <v>200.0</v>
      </c>
      <c r="D886">
        <v>3.0</v>
      </c>
      <c r="E886" t="str">
        <f t="shared" si="1"/>
        <v>14.3125</v>
      </c>
      <c r="F886">
        <v>3.0</v>
      </c>
      <c r="G886">
        <v>2.0</v>
      </c>
      <c r="H886" t="str">
        <f t="shared" si="2"/>
        <v>6</v>
      </c>
      <c r="I886">
        <v>135.0</v>
      </c>
      <c r="J886" t="str">
        <f t="shared" si="3"/>
        <v>428.625</v>
      </c>
      <c r="K886" t="str">
        <f t="shared" si="4"/>
        <v>1654.4925</v>
      </c>
      <c r="L886" t="str">
        <f t="shared" si="5"/>
        <v>27.574875</v>
      </c>
      <c r="M886" t="str">
        <f t="shared" si="6"/>
        <v>386</v>
      </c>
      <c r="N886" t="s">
        <v>182</v>
      </c>
      <c r="O886" t="s">
        <v>1676</v>
      </c>
      <c r="P886" t="s">
        <v>1677</v>
      </c>
    </row>
    <row r="887" ht="15.75" customHeight="1">
      <c r="A887">
        <v>889.0</v>
      </c>
      <c r="B887">
        <v>168.0</v>
      </c>
      <c r="C887">
        <v>63.5</v>
      </c>
      <c r="D887">
        <v>3.0</v>
      </c>
      <c r="E887" t="str">
        <f t="shared" si="1"/>
        <v>3.175</v>
      </c>
      <c r="F887">
        <v>2.0</v>
      </c>
      <c r="G887">
        <v>5.0</v>
      </c>
      <c r="H887" t="str">
        <f t="shared" si="2"/>
        <v>10</v>
      </c>
      <c r="I887">
        <v>105.0</v>
      </c>
      <c r="J887" t="str">
        <f t="shared" si="3"/>
        <v>333.375</v>
      </c>
      <c r="K887" t="str">
        <f t="shared" si="4"/>
        <v>1196.81625</v>
      </c>
      <c r="L887" t="str">
        <f t="shared" si="5"/>
        <v>11.9681625</v>
      </c>
      <c r="M887" t="str">
        <f t="shared" si="6"/>
        <v>359</v>
      </c>
      <c r="N887" t="s">
        <v>187</v>
      </c>
      <c r="O887" t="s">
        <v>1678</v>
      </c>
      <c r="P887" t="s">
        <v>1675</v>
      </c>
    </row>
    <row r="888" ht="15.75" customHeight="1">
      <c r="A888">
        <v>890.0</v>
      </c>
      <c r="B888">
        <v>72.0</v>
      </c>
      <c r="C888">
        <v>237.5</v>
      </c>
      <c r="D888">
        <v>3.0</v>
      </c>
      <c r="E888" t="str">
        <f t="shared" si="1"/>
        <v>5.3875</v>
      </c>
      <c r="F888">
        <v>5.0</v>
      </c>
      <c r="G888">
        <v>2.0</v>
      </c>
      <c r="H888" t="str">
        <f t="shared" si="2"/>
        <v>10</v>
      </c>
      <c r="I888">
        <v>153.0</v>
      </c>
      <c r="J888" t="str">
        <f t="shared" si="3"/>
        <v>485.775</v>
      </c>
      <c r="K888" t="str">
        <f t="shared" si="4"/>
        <v>1904.238</v>
      </c>
      <c r="L888" t="str">
        <f t="shared" si="5"/>
        <v>19.04238</v>
      </c>
      <c r="M888" t="str">
        <f t="shared" si="6"/>
        <v>392</v>
      </c>
      <c r="N888" t="s">
        <v>182</v>
      </c>
      <c r="O888" t="s">
        <v>1679</v>
      </c>
      <c r="P888" s="126" t="s">
        <v>1680</v>
      </c>
    </row>
    <row r="889" ht="15.75" customHeight="1">
      <c r="A889">
        <v>891.0</v>
      </c>
      <c r="B889">
        <v>25.0</v>
      </c>
      <c r="C889">
        <v>25.0</v>
      </c>
      <c r="D889">
        <v>3.0</v>
      </c>
      <c r="E889" t="str">
        <f t="shared" si="1"/>
        <v>2.709090909</v>
      </c>
      <c r="F889">
        <v>11.0</v>
      </c>
      <c r="G889">
        <v>11.0</v>
      </c>
      <c r="H889" t="str">
        <f t="shared" si="2"/>
        <v>121</v>
      </c>
      <c r="I889">
        <v>96.0</v>
      </c>
      <c r="J889" t="str">
        <f t="shared" si="3"/>
        <v>304.8</v>
      </c>
      <c r="K889" t="str">
        <f t="shared" si="4"/>
        <v>990.6</v>
      </c>
      <c r="L889" t="str">
        <f t="shared" si="5"/>
        <v>0.818677686</v>
      </c>
      <c r="M889" t="str">
        <f t="shared" si="6"/>
        <v>325</v>
      </c>
      <c r="N889" t="s">
        <v>182</v>
      </c>
      <c r="O889" t="s">
        <v>1681</v>
      </c>
      <c r="P889" t="s">
        <v>1682</v>
      </c>
    </row>
    <row r="890" ht="15.75" customHeight="1">
      <c r="A890">
        <v>892.0</v>
      </c>
      <c r="B890">
        <v>105.0</v>
      </c>
      <c r="C890">
        <v>52.5</v>
      </c>
      <c r="D890">
        <v>3.0</v>
      </c>
      <c r="E890" t="str">
        <f t="shared" si="1"/>
        <v>3.38</v>
      </c>
      <c r="F890">
        <v>2.0</v>
      </c>
      <c r="G890">
        <v>5.0</v>
      </c>
      <c r="H890" t="str">
        <f t="shared" si="2"/>
        <v>10</v>
      </c>
      <c r="I890">
        <v>88.0</v>
      </c>
      <c r="J890" t="str">
        <f t="shared" si="3"/>
        <v>279.4</v>
      </c>
      <c r="K890" t="str">
        <f t="shared" si="4"/>
        <v>651.002</v>
      </c>
      <c r="L890" t="str">
        <f t="shared" si="5"/>
        <v>6.51002</v>
      </c>
      <c r="M890" t="str">
        <f t="shared" si="6"/>
        <v>233</v>
      </c>
      <c r="N890" t="s">
        <v>187</v>
      </c>
      <c r="O890" t="s">
        <v>1683</v>
      </c>
      <c r="P890" t="s">
        <v>1684</v>
      </c>
    </row>
    <row r="891" ht="15.75" customHeight="1">
      <c r="A891">
        <v>893.0</v>
      </c>
      <c r="B891">
        <v>115.0</v>
      </c>
      <c r="C891">
        <v>47.0</v>
      </c>
      <c r="D891">
        <v>3.0</v>
      </c>
      <c r="E891" t="str">
        <f t="shared" si="1"/>
        <v>3.00625</v>
      </c>
      <c r="F891">
        <v>2.0</v>
      </c>
      <c r="G891">
        <v>8.0</v>
      </c>
      <c r="H891" t="str">
        <f t="shared" si="2"/>
        <v>16</v>
      </c>
      <c r="I891">
        <v>126.0</v>
      </c>
      <c r="J891" t="str">
        <f t="shared" si="3"/>
        <v>400.05</v>
      </c>
      <c r="K891" t="str">
        <f t="shared" si="4"/>
        <v>1012.1265</v>
      </c>
      <c r="L891" t="str">
        <f t="shared" si="5"/>
        <v>6.325790625</v>
      </c>
      <c r="M891" t="str">
        <f t="shared" si="6"/>
        <v>253</v>
      </c>
      <c r="N891" t="s">
        <v>187</v>
      </c>
      <c r="O891" t="s">
        <v>1685</v>
      </c>
      <c r="P891" t="s">
        <v>1686</v>
      </c>
    </row>
    <row r="892" ht="15.75" customHeight="1">
      <c r="A892">
        <v>894.0</v>
      </c>
      <c r="B892">
        <v>153.0</v>
      </c>
      <c r="C892">
        <v>58.0</v>
      </c>
      <c r="D892">
        <v>5.0</v>
      </c>
      <c r="E892" t="str">
        <f t="shared" si="1"/>
        <v>2.96</v>
      </c>
      <c r="F892">
        <v>2.0</v>
      </c>
      <c r="G892">
        <v>5.0</v>
      </c>
      <c r="H892" t="str">
        <f t="shared" si="2"/>
        <v>10</v>
      </c>
      <c r="I892">
        <v>96.0</v>
      </c>
      <c r="J892" t="str">
        <f t="shared" si="3"/>
        <v>304.8</v>
      </c>
      <c r="K892" t="str">
        <f t="shared" si="4"/>
        <v>1014.984</v>
      </c>
      <c r="L892" t="str">
        <f t="shared" si="5"/>
        <v>10.14984</v>
      </c>
      <c r="M892" t="str">
        <f t="shared" si="6"/>
        <v>333</v>
      </c>
      <c r="N892" t="s">
        <v>187</v>
      </c>
      <c r="O892" t="s">
        <v>1687</v>
      </c>
      <c r="P892" t="s">
        <v>1688</v>
      </c>
    </row>
    <row r="893" ht="15.75" customHeight="1">
      <c r="A893">
        <v>895.0</v>
      </c>
      <c r="B893">
        <v>143.0</v>
      </c>
      <c r="C893">
        <v>76.0</v>
      </c>
      <c r="D893">
        <v>5.0</v>
      </c>
      <c r="E893" t="str">
        <f t="shared" si="1"/>
        <v>4.01</v>
      </c>
      <c r="F893">
        <v>2.0</v>
      </c>
      <c r="G893">
        <v>5.0</v>
      </c>
      <c r="H893" t="str">
        <f t="shared" si="2"/>
        <v>10</v>
      </c>
      <c r="I893">
        <v>126.0</v>
      </c>
      <c r="J893" t="str">
        <f t="shared" si="3"/>
        <v>400.05</v>
      </c>
      <c r="K893" t="str">
        <f t="shared" si="4"/>
        <v>1252.1565</v>
      </c>
      <c r="L893" t="str">
        <f t="shared" si="5"/>
        <v>12.521565</v>
      </c>
      <c r="M893" t="str">
        <f t="shared" si="6"/>
        <v>313</v>
      </c>
      <c r="N893" t="s">
        <v>182</v>
      </c>
      <c r="O893" t="s">
        <v>1689</v>
      </c>
      <c r="P893" t="s">
        <v>1690</v>
      </c>
    </row>
    <row r="894" ht="15.75" customHeight="1">
      <c r="A894">
        <v>896.0</v>
      </c>
      <c r="B894">
        <v>60.0</v>
      </c>
      <c r="C894">
        <v>155.0</v>
      </c>
      <c r="D894">
        <v>3.0</v>
      </c>
      <c r="E894" t="str">
        <f t="shared" si="1"/>
        <v>6.925</v>
      </c>
      <c r="F894">
        <v>6.0</v>
      </c>
      <c r="G894">
        <v>3.0</v>
      </c>
      <c r="H894" t="str">
        <f t="shared" si="2"/>
        <v>18</v>
      </c>
      <c r="I894">
        <v>153.0</v>
      </c>
      <c r="J894" t="str">
        <f t="shared" si="3"/>
        <v>485.775</v>
      </c>
      <c r="K894" t="str">
        <f t="shared" si="4"/>
        <v>1918.81125</v>
      </c>
      <c r="L894" t="str">
        <f t="shared" si="5"/>
        <v>10.6600625</v>
      </c>
      <c r="M894" t="str">
        <f t="shared" si="6"/>
        <v>395</v>
      </c>
      <c r="N894" t="s">
        <v>182</v>
      </c>
      <c r="O894" t="s">
        <v>1691</v>
      </c>
      <c r="P894" t="s">
        <v>1692</v>
      </c>
    </row>
    <row r="895" ht="15.75" customHeight="1">
      <c r="A895">
        <v>897.0</v>
      </c>
      <c r="B895">
        <v>17.0</v>
      </c>
      <c r="C895">
        <v>105.0</v>
      </c>
      <c r="D895">
        <v>3.0</v>
      </c>
      <c r="E895" t="str">
        <f t="shared" si="1"/>
        <v>2.95</v>
      </c>
      <c r="F895">
        <v>9.0</v>
      </c>
      <c r="G895">
        <v>3.0</v>
      </c>
      <c r="H895" t="str">
        <f t="shared" si="2"/>
        <v>27</v>
      </c>
      <c r="I895">
        <v>102.0</v>
      </c>
      <c r="J895" t="str">
        <f t="shared" si="3"/>
        <v>323.85</v>
      </c>
      <c r="K895" t="str">
        <f t="shared" si="4"/>
        <v>637.9845</v>
      </c>
      <c r="L895" t="str">
        <f t="shared" si="5"/>
        <v>2.362905556</v>
      </c>
      <c r="M895" t="str">
        <f t="shared" si="6"/>
        <v>197</v>
      </c>
      <c r="N895" t="s">
        <v>182</v>
      </c>
      <c r="O895" t="s">
        <v>1693</v>
      </c>
      <c r="P895" t="s">
        <v>1694</v>
      </c>
    </row>
    <row r="896" ht="15.75" customHeight="1">
      <c r="A896">
        <v>898.0</v>
      </c>
      <c r="B896">
        <v>130.0</v>
      </c>
      <c r="C896">
        <v>188.0</v>
      </c>
      <c r="D896">
        <v>3.0</v>
      </c>
      <c r="E896" t="str">
        <f t="shared" si="1"/>
        <v>2.5</v>
      </c>
      <c r="F896">
        <v>2.0</v>
      </c>
      <c r="G896">
        <v>2.0</v>
      </c>
      <c r="H896" t="str">
        <f t="shared" si="2"/>
        <v>4</v>
      </c>
      <c r="I896">
        <v>120.0</v>
      </c>
      <c r="J896" t="str">
        <f t="shared" si="3"/>
        <v>381</v>
      </c>
      <c r="K896" t="str">
        <f t="shared" si="4"/>
        <v>1078.23</v>
      </c>
      <c r="L896" t="str">
        <f t="shared" si="5"/>
        <v>26.95575</v>
      </c>
      <c r="M896" t="str">
        <f t="shared" si="6"/>
        <v>283</v>
      </c>
      <c r="N896" t="s">
        <v>187</v>
      </c>
      <c r="O896" t="s">
        <v>1695</v>
      </c>
      <c r="P896" t="s">
        <v>1696</v>
      </c>
    </row>
    <row r="897" ht="15.75" customHeight="1">
      <c r="A897">
        <v>899.0</v>
      </c>
      <c r="B897">
        <v>140.0</v>
      </c>
      <c r="C897">
        <v>50.0</v>
      </c>
      <c r="D897">
        <v>3.0</v>
      </c>
      <c r="E897" t="str">
        <f t="shared" si="1"/>
        <v>3.975</v>
      </c>
      <c r="F897">
        <v>2.0</v>
      </c>
      <c r="G897">
        <v>6.0</v>
      </c>
      <c r="H897" t="str">
        <f t="shared" si="2"/>
        <v>12</v>
      </c>
      <c r="I897">
        <v>102.0</v>
      </c>
      <c r="J897" t="str">
        <f t="shared" si="3"/>
        <v>323.85</v>
      </c>
      <c r="K897" t="str">
        <f t="shared" si="4"/>
        <v>981.2655</v>
      </c>
      <c r="L897" t="str">
        <f t="shared" si="5"/>
        <v>8.1772125</v>
      </c>
      <c r="M897" t="str">
        <f t="shared" si="6"/>
        <v>303</v>
      </c>
      <c r="N897" t="s">
        <v>187</v>
      </c>
      <c r="O897" t="s">
        <v>1697</v>
      </c>
      <c r="P897" t="s">
        <v>1698</v>
      </c>
    </row>
    <row r="898" ht="15.75" customHeight="1">
      <c r="A898">
        <v>900.0</v>
      </c>
      <c r="B898">
        <v>90.0</v>
      </c>
      <c r="C898">
        <v>39.0</v>
      </c>
      <c r="D898">
        <v>3.0</v>
      </c>
      <c r="E898" t="str">
        <f t="shared" si="1"/>
        <v>3.333333333</v>
      </c>
      <c r="F898">
        <v>4.0</v>
      </c>
      <c r="G898">
        <v>9.0</v>
      </c>
      <c r="H898" t="str">
        <f t="shared" si="2"/>
        <v>36</v>
      </c>
      <c r="I898">
        <v>120.0</v>
      </c>
      <c r="J898" t="str">
        <f t="shared" si="3"/>
        <v>381</v>
      </c>
      <c r="K898" t="str">
        <f t="shared" si="4"/>
        <v>1482.09</v>
      </c>
      <c r="L898" t="str">
        <f t="shared" si="5"/>
        <v>4.116916667</v>
      </c>
      <c r="M898" t="str">
        <f t="shared" si="6"/>
        <v>389</v>
      </c>
      <c r="N898" t="s">
        <v>187</v>
      </c>
      <c r="O898" t="s">
        <v>1699</v>
      </c>
      <c r="P898" t="s">
        <v>1700</v>
      </c>
    </row>
    <row r="899" ht="15.75" customHeight="1">
      <c r="A899">
        <v>901.0</v>
      </c>
      <c r="B899">
        <v>120.0</v>
      </c>
      <c r="C899">
        <v>153.0</v>
      </c>
      <c r="D899">
        <v>3.0</v>
      </c>
      <c r="E899" t="str">
        <f t="shared" si="1"/>
        <v>2.575</v>
      </c>
      <c r="F899">
        <v>2.0</v>
      </c>
      <c r="G899">
        <v>2.0</v>
      </c>
      <c r="H899" t="str">
        <f t="shared" si="2"/>
        <v>4</v>
      </c>
      <c r="I899">
        <v>98.0</v>
      </c>
      <c r="J899" t="str">
        <f t="shared" si="3"/>
        <v>311.15</v>
      </c>
      <c r="K899" t="str">
        <f t="shared" si="4"/>
        <v>818.3245</v>
      </c>
      <c r="L899" t="str">
        <f t="shared" si="5"/>
        <v>20.4581125</v>
      </c>
      <c r="M899" t="str">
        <f t="shared" si="6"/>
        <v>263</v>
      </c>
      <c r="N899" t="s">
        <v>187</v>
      </c>
      <c r="O899" t="s">
        <v>1701</v>
      </c>
      <c r="P899" t="s">
        <v>1702</v>
      </c>
    </row>
    <row r="900" ht="15.75" customHeight="1">
      <c r="A900">
        <v>902.0</v>
      </c>
      <c r="B900">
        <v>140.0</v>
      </c>
      <c r="C900">
        <v>70.0</v>
      </c>
      <c r="D900">
        <v>3.0</v>
      </c>
      <c r="E900" t="str">
        <f t="shared" si="1"/>
        <v>4.839285714</v>
      </c>
      <c r="F900">
        <v>2.0</v>
      </c>
      <c r="G900">
        <v>7.0</v>
      </c>
      <c r="H900" t="str">
        <f t="shared" si="2"/>
        <v>14</v>
      </c>
      <c r="I900">
        <v>165.0</v>
      </c>
      <c r="J900" t="str">
        <f t="shared" si="3"/>
        <v>523.875</v>
      </c>
      <c r="K900" t="str">
        <f t="shared" si="4"/>
        <v>1587.34125</v>
      </c>
      <c r="L900" t="str">
        <f t="shared" si="5"/>
        <v>11.33815179</v>
      </c>
      <c r="M900" t="str">
        <f t="shared" si="6"/>
        <v>303</v>
      </c>
      <c r="N900" t="s">
        <v>182</v>
      </c>
      <c r="O900" t="s">
        <v>1703</v>
      </c>
      <c r="P900" t="s">
        <v>1704</v>
      </c>
    </row>
    <row r="901" ht="15.75" customHeight="1">
      <c r="A901">
        <v>903.0</v>
      </c>
      <c r="B901">
        <v>321.0</v>
      </c>
      <c r="C901">
        <v>72.0</v>
      </c>
      <c r="D901">
        <v>5.0</v>
      </c>
      <c r="E901" t="str">
        <f t="shared" si="1"/>
        <v>4.2</v>
      </c>
      <c r="F901">
        <v>1.0</v>
      </c>
      <c r="G901">
        <v>4.0</v>
      </c>
      <c r="H901" t="str">
        <f t="shared" si="2"/>
        <v>4</v>
      </c>
      <c r="I901">
        <v>96.0</v>
      </c>
      <c r="J901" t="str">
        <f t="shared" si="3"/>
        <v>304.8</v>
      </c>
      <c r="K901" t="str">
        <f t="shared" si="4"/>
        <v>1045.464</v>
      </c>
      <c r="L901" t="str">
        <f t="shared" si="5"/>
        <v>26.1366</v>
      </c>
      <c r="M901" t="str">
        <f t="shared" si="6"/>
        <v>343</v>
      </c>
      <c r="N901" t="s">
        <v>182</v>
      </c>
      <c r="O901" t="s">
        <v>1705</v>
      </c>
      <c r="P901" t="s">
        <v>1706</v>
      </c>
    </row>
    <row r="902" ht="15.75" customHeight="1">
      <c r="A902">
        <v>904.0</v>
      </c>
      <c r="B902">
        <v>25.0</v>
      </c>
      <c r="C902">
        <v>45.0</v>
      </c>
      <c r="D902">
        <v>3.0</v>
      </c>
      <c r="E902" t="str">
        <f t="shared" si="1"/>
        <v>2.625</v>
      </c>
      <c r="F902">
        <v>11.0</v>
      </c>
      <c r="G902">
        <v>6.0</v>
      </c>
      <c r="H902" t="str">
        <f t="shared" si="2"/>
        <v>66</v>
      </c>
      <c r="I902">
        <v>90.0</v>
      </c>
      <c r="J902" t="str">
        <f t="shared" si="3"/>
        <v>285.75</v>
      </c>
      <c r="K902" t="str">
        <f t="shared" si="4"/>
        <v>928.6875</v>
      </c>
      <c r="L902" t="str">
        <f t="shared" si="5"/>
        <v>1.407102273</v>
      </c>
      <c r="M902" t="str">
        <f t="shared" si="6"/>
        <v>325</v>
      </c>
      <c r="N902" t="s">
        <v>187</v>
      </c>
      <c r="O902" t="s">
        <v>1707</v>
      </c>
      <c r="P902" t="s">
        <v>1708</v>
      </c>
    </row>
    <row r="903" ht="15.75" customHeight="1">
      <c r="A903">
        <v>905.0</v>
      </c>
      <c r="B903">
        <v>75.0</v>
      </c>
      <c r="C903">
        <v>50.0</v>
      </c>
      <c r="D903">
        <v>3.0</v>
      </c>
      <c r="E903" t="str">
        <f t="shared" si="1"/>
        <v>3.34</v>
      </c>
      <c r="F903">
        <v>4.0</v>
      </c>
      <c r="G903">
        <v>5.0</v>
      </c>
      <c r="H903" t="str">
        <f t="shared" si="2"/>
        <v>20</v>
      </c>
      <c r="I903">
        <v>84.0</v>
      </c>
      <c r="J903" t="str">
        <f t="shared" si="3"/>
        <v>266.7</v>
      </c>
      <c r="K903" t="str">
        <f t="shared" si="4"/>
        <v>877.443</v>
      </c>
      <c r="L903" t="str">
        <f t="shared" si="5"/>
        <v>4.387215</v>
      </c>
      <c r="M903" t="str">
        <f t="shared" si="6"/>
        <v>329</v>
      </c>
      <c r="N903" t="s">
        <v>187</v>
      </c>
      <c r="O903" t="s">
        <v>1709</v>
      </c>
      <c r="P903" t="s">
        <v>1710</v>
      </c>
    </row>
    <row r="904" ht="15.75" customHeight="1">
      <c r="A904">
        <v>906.0</v>
      </c>
      <c r="B904">
        <v>140.0</v>
      </c>
      <c r="C904">
        <v>70.0</v>
      </c>
      <c r="D904">
        <v>3.0</v>
      </c>
      <c r="E904" t="str">
        <f t="shared" si="1"/>
        <v>6.2</v>
      </c>
      <c r="F904">
        <v>2.0</v>
      </c>
      <c r="G904">
        <v>5.0</v>
      </c>
      <c r="H904" t="str">
        <f t="shared" si="2"/>
        <v>10</v>
      </c>
      <c r="I904">
        <v>120.0</v>
      </c>
      <c r="J904" t="str">
        <f t="shared" si="3"/>
        <v>381</v>
      </c>
      <c r="K904" t="str">
        <f t="shared" si="4"/>
        <v>1154.43</v>
      </c>
      <c r="L904" t="str">
        <f t="shared" si="5"/>
        <v>11.5443</v>
      </c>
      <c r="M904" t="str">
        <f t="shared" si="6"/>
        <v>303</v>
      </c>
      <c r="N904" t="s">
        <v>187</v>
      </c>
      <c r="O904" t="s">
        <v>1711</v>
      </c>
      <c r="P904" t="s">
        <v>1712</v>
      </c>
    </row>
    <row r="905" ht="15.75" customHeight="1">
      <c r="A905">
        <v>907.0</v>
      </c>
      <c r="B905">
        <v>38.0</v>
      </c>
      <c r="C905">
        <v>50.0</v>
      </c>
      <c r="D905">
        <v>3.0</v>
      </c>
      <c r="E905" t="str">
        <f t="shared" si="1"/>
        <v>3.34</v>
      </c>
      <c r="F905">
        <v>8.0</v>
      </c>
      <c r="G905">
        <v>5.0</v>
      </c>
      <c r="H905" t="str">
        <f t="shared" si="2"/>
        <v>40</v>
      </c>
      <c r="I905">
        <v>84.0</v>
      </c>
      <c r="J905" t="str">
        <f t="shared" si="3"/>
        <v>266.7</v>
      </c>
      <c r="K905" t="str">
        <f t="shared" si="4"/>
        <v>920.115</v>
      </c>
      <c r="L905" t="str">
        <f t="shared" si="5"/>
        <v>2.3002875</v>
      </c>
      <c r="M905" t="str">
        <f t="shared" si="6"/>
        <v>345</v>
      </c>
      <c r="N905" t="s">
        <v>187</v>
      </c>
      <c r="O905" t="s">
        <v>1713</v>
      </c>
      <c r="P905" t="s">
        <v>1714</v>
      </c>
    </row>
    <row r="906" ht="15.75" customHeight="1">
      <c r="A906">
        <v>908.0</v>
      </c>
      <c r="B906">
        <v>30.0</v>
      </c>
      <c r="C906">
        <v>45.0</v>
      </c>
      <c r="D906">
        <v>3.0</v>
      </c>
      <c r="E906" t="str">
        <f t="shared" si="1"/>
        <v>2.625</v>
      </c>
      <c r="F906">
        <v>9.0</v>
      </c>
      <c r="G906">
        <v>6.0</v>
      </c>
      <c r="H906" t="str">
        <f t="shared" si="2"/>
        <v>54</v>
      </c>
      <c r="I906">
        <v>90.0</v>
      </c>
      <c r="J906" t="str">
        <f t="shared" si="3"/>
        <v>285.75</v>
      </c>
      <c r="K906" t="str">
        <f t="shared" si="4"/>
        <v>897.255</v>
      </c>
      <c r="L906" t="str">
        <f t="shared" si="5"/>
        <v>1.661583333</v>
      </c>
      <c r="M906" t="str">
        <f t="shared" si="6"/>
        <v>314</v>
      </c>
      <c r="N906" t="s">
        <v>187</v>
      </c>
      <c r="O906" t="s">
        <v>1715</v>
      </c>
      <c r="P906" t="s">
        <v>1716</v>
      </c>
    </row>
    <row r="907" ht="15.75" customHeight="1">
      <c r="A907">
        <v>909.0</v>
      </c>
      <c r="B907">
        <v>185.0</v>
      </c>
      <c r="C907">
        <v>60.0</v>
      </c>
      <c r="D907">
        <v>3.0</v>
      </c>
      <c r="E907" t="str">
        <f t="shared" si="1"/>
        <v>3.5</v>
      </c>
      <c r="F907">
        <v>1.0</v>
      </c>
      <c r="G907">
        <v>6.0</v>
      </c>
      <c r="H907" t="str">
        <f t="shared" si="2"/>
        <v>6</v>
      </c>
      <c r="I907">
        <v>120.0</v>
      </c>
      <c r="J907" t="str">
        <f t="shared" si="3"/>
        <v>381</v>
      </c>
      <c r="K907" t="str">
        <f t="shared" si="4"/>
        <v>781.05</v>
      </c>
      <c r="L907" t="str">
        <f t="shared" si="5"/>
        <v>13.0175</v>
      </c>
      <c r="M907" t="str">
        <f t="shared" si="6"/>
        <v>205</v>
      </c>
      <c r="N907" t="s">
        <v>187</v>
      </c>
      <c r="O907" t="s">
        <v>1717</v>
      </c>
      <c r="P907" t="s">
        <v>1718</v>
      </c>
    </row>
    <row r="908" ht="15.75" customHeight="1">
      <c r="A908">
        <v>910.0</v>
      </c>
      <c r="B908">
        <v>30.0</v>
      </c>
      <c r="C908">
        <v>120.0</v>
      </c>
      <c r="D908">
        <v>3.0</v>
      </c>
      <c r="E908" t="str">
        <f t="shared" si="1"/>
        <v>7</v>
      </c>
      <c r="F908">
        <v>7.0</v>
      </c>
      <c r="G908">
        <v>3.0</v>
      </c>
      <c r="H908" t="str">
        <f t="shared" si="2"/>
        <v>21</v>
      </c>
      <c r="I908">
        <v>120.0</v>
      </c>
      <c r="J908" t="str">
        <f t="shared" si="3"/>
        <v>381</v>
      </c>
      <c r="K908" t="str">
        <f t="shared" si="4"/>
        <v>944.88</v>
      </c>
      <c r="L908" t="str">
        <f t="shared" si="5"/>
        <v>4.499428571</v>
      </c>
      <c r="M908" t="str">
        <f t="shared" si="6"/>
        <v>248</v>
      </c>
      <c r="N908" t="s">
        <v>187</v>
      </c>
      <c r="O908" t="s">
        <v>1719</v>
      </c>
      <c r="P908" t="s">
        <v>1720</v>
      </c>
    </row>
    <row r="909" ht="15.75" customHeight="1">
      <c r="A909">
        <v>911.0</v>
      </c>
      <c r="B909">
        <v>30.0</v>
      </c>
      <c r="C909">
        <v>120.0</v>
      </c>
      <c r="D909">
        <v>5.0</v>
      </c>
      <c r="E909" t="str">
        <f t="shared" si="1"/>
        <v>7</v>
      </c>
      <c r="F909">
        <v>5.0</v>
      </c>
      <c r="G909">
        <v>3.0</v>
      </c>
      <c r="H909" t="str">
        <f t="shared" si="2"/>
        <v>15</v>
      </c>
      <c r="I909">
        <v>120.0</v>
      </c>
      <c r="J909" t="str">
        <f t="shared" si="3"/>
        <v>381</v>
      </c>
      <c r="K909" t="str">
        <f t="shared" si="4"/>
        <v>731.52</v>
      </c>
      <c r="L909" t="str">
        <f t="shared" si="5"/>
        <v>4.8768</v>
      </c>
      <c r="M909" t="str">
        <f t="shared" si="6"/>
        <v>192</v>
      </c>
      <c r="N909" t="s">
        <v>187</v>
      </c>
      <c r="O909" t="s">
        <v>1721</v>
      </c>
      <c r="P909" t="s">
        <v>1722</v>
      </c>
    </row>
    <row r="910" ht="15.75" customHeight="1">
      <c r="A910">
        <v>912.0</v>
      </c>
      <c r="B910">
        <v>28.0</v>
      </c>
      <c r="C910">
        <v>67.0</v>
      </c>
      <c r="D910">
        <v>3.0</v>
      </c>
      <c r="E910" t="str">
        <f t="shared" si="1"/>
        <v>2.85</v>
      </c>
      <c r="F910">
        <v>11.0</v>
      </c>
      <c r="G910">
        <v>4.0</v>
      </c>
      <c r="H910" t="str">
        <f t="shared" si="2"/>
        <v>44</v>
      </c>
      <c r="I910">
        <v>88.0</v>
      </c>
      <c r="J910" t="str">
        <f t="shared" si="3"/>
        <v>279.4</v>
      </c>
      <c r="K910" t="str">
        <f t="shared" si="4"/>
        <v>1000.252</v>
      </c>
      <c r="L910" t="str">
        <f t="shared" si="5"/>
        <v>2.2733</v>
      </c>
      <c r="M910" t="str">
        <f t="shared" si="6"/>
        <v>358</v>
      </c>
      <c r="N910" t="s">
        <v>182</v>
      </c>
      <c r="O910" t="s">
        <v>1723</v>
      </c>
      <c r="P910" s="126" t="s">
        <v>1724</v>
      </c>
    </row>
    <row r="911" ht="15.75" customHeight="1">
      <c r="A911">
        <v>913.0</v>
      </c>
      <c r="B911">
        <v>210.0</v>
      </c>
      <c r="C911">
        <v>165.0</v>
      </c>
      <c r="D911">
        <v>3.0</v>
      </c>
      <c r="E911" t="str">
        <f t="shared" si="1"/>
        <v>6.45</v>
      </c>
      <c r="F911">
        <v>1.0</v>
      </c>
      <c r="G911">
        <v>2.0</v>
      </c>
      <c r="H911" t="str">
        <f t="shared" si="2"/>
        <v>2</v>
      </c>
      <c r="I911">
        <v>108.0</v>
      </c>
      <c r="J911" t="str">
        <f t="shared" si="3"/>
        <v>342.9</v>
      </c>
      <c r="K911" t="str">
        <f t="shared" si="4"/>
        <v>788.67</v>
      </c>
      <c r="L911" t="str">
        <f t="shared" si="5"/>
        <v>39.4335</v>
      </c>
      <c r="M911" t="str">
        <f t="shared" si="6"/>
        <v>230</v>
      </c>
      <c r="N911" t="s">
        <v>182</v>
      </c>
      <c r="O911" t="s">
        <v>1725</v>
      </c>
    </row>
    <row r="912" ht="15.75" customHeight="1">
      <c r="A912">
        <v>914.0</v>
      </c>
      <c r="B912">
        <v>120.0</v>
      </c>
      <c r="C912">
        <v>60.0</v>
      </c>
      <c r="D912">
        <v>3.0</v>
      </c>
      <c r="E912" t="str">
        <f t="shared" si="1"/>
        <v>3.5</v>
      </c>
      <c r="F912">
        <v>2.0</v>
      </c>
      <c r="G912">
        <v>6.0</v>
      </c>
      <c r="H912" t="str">
        <f t="shared" si="2"/>
        <v>12</v>
      </c>
      <c r="I912">
        <v>120.0</v>
      </c>
      <c r="J912" t="str">
        <f t="shared" si="3"/>
        <v>381</v>
      </c>
      <c r="K912" t="str">
        <f t="shared" si="4"/>
        <v>1002.03</v>
      </c>
      <c r="L912" t="str">
        <f t="shared" si="5"/>
        <v>8.35025</v>
      </c>
      <c r="M912" t="str">
        <f t="shared" si="6"/>
        <v>263</v>
      </c>
      <c r="N912" t="s">
        <v>182</v>
      </c>
      <c r="O912" t="s">
        <v>1726</v>
      </c>
      <c r="P912" t="s">
        <v>1727</v>
      </c>
    </row>
    <row r="913" ht="15.75" customHeight="1">
      <c r="A913">
        <v>915.0</v>
      </c>
      <c r="B913">
        <v>54.0</v>
      </c>
      <c r="C913">
        <v>132.0</v>
      </c>
      <c r="D913">
        <v>3.0</v>
      </c>
      <c r="E913" t="str">
        <f t="shared" si="1"/>
        <v>4.525</v>
      </c>
      <c r="F913">
        <v>6.0</v>
      </c>
      <c r="G913">
        <v>2.0</v>
      </c>
      <c r="H913" t="str">
        <f t="shared" si="2"/>
        <v>12</v>
      </c>
      <c r="I913">
        <v>86.0</v>
      </c>
      <c r="J913" t="str">
        <f t="shared" si="3"/>
        <v>273.05</v>
      </c>
      <c r="K913" t="str">
        <f t="shared" si="4"/>
        <v>980.2495</v>
      </c>
      <c r="L913" t="str">
        <f t="shared" si="5"/>
        <v>8.168745833</v>
      </c>
      <c r="M913" t="str">
        <f t="shared" si="6"/>
        <v>359</v>
      </c>
      <c r="N913" t="s">
        <v>187</v>
      </c>
      <c r="O913" t="s">
        <v>1728</v>
      </c>
      <c r="P913" t="s">
        <v>1729</v>
      </c>
    </row>
    <row r="914" ht="15.75" customHeight="1">
      <c r="A914">
        <v>916.0</v>
      </c>
      <c r="B914">
        <v>55.0</v>
      </c>
      <c r="C914">
        <v>190.0</v>
      </c>
      <c r="D914">
        <v>3.0</v>
      </c>
      <c r="E914" t="str">
        <f t="shared" si="1"/>
        <v>10.025</v>
      </c>
      <c r="F914">
        <v>4.0</v>
      </c>
      <c r="G914">
        <v>2.0</v>
      </c>
      <c r="H914" t="str">
        <f t="shared" si="2"/>
        <v>8</v>
      </c>
      <c r="I914">
        <v>126.0</v>
      </c>
      <c r="J914" t="str">
        <f t="shared" si="3"/>
        <v>400.05</v>
      </c>
      <c r="K914" t="str">
        <f t="shared" si="4"/>
        <v>996.1245</v>
      </c>
      <c r="L914" t="str">
        <f t="shared" si="5"/>
        <v>12.45155625</v>
      </c>
      <c r="M914" t="str">
        <f t="shared" si="6"/>
        <v>249</v>
      </c>
      <c r="N914" t="s">
        <v>182</v>
      </c>
      <c r="O914" t="s">
        <v>1730</v>
      </c>
    </row>
    <row r="915" ht="15.75" customHeight="1">
      <c r="A915">
        <v>917.0</v>
      </c>
      <c r="B915">
        <v>30.0</v>
      </c>
      <c r="C915">
        <v>70.0</v>
      </c>
      <c r="D915">
        <v>3.0</v>
      </c>
      <c r="E915" t="str">
        <f t="shared" si="1"/>
        <v>4.839285714</v>
      </c>
      <c r="F915">
        <v>8.0</v>
      </c>
      <c r="G915">
        <v>7.0</v>
      </c>
      <c r="H915" t="str">
        <f t="shared" si="2"/>
        <v>56</v>
      </c>
      <c r="I915">
        <v>165.0</v>
      </c>
      <c r="J915" t="str">
        <f t="shared" si="3"/>
        <v>523.875</v>
      </c>
      <c r="K915" t="str">
        <f t="shared" si="4"/>
        <v>1472.08875</v>
      </c>
      <c r="L915" t="str">
        <f t="shared" si="5"/>
        <v>2.628729911</v>
      </c>
      <c r="M915" t="str">
        <f t="shared" si="6"/>
        <v>281</v>
      </c>
      <c r="N915" t="s">
        <v>182</v>
      </c>
      <c r="O915" t="s">
        <v>1731</v>
      </c>
    </row>
    <row r="916" ht="15.75" customHeight="1">
      <c r="A916">
        <v>918.0</v>
      </c>
      <c r="B916">
        <v>155.0</v>
      </c>
      <c r="C916">
        <v>295.0</v>
      </c>
      <c r="D916">
        <v>3.0</v>
      </c>
      <c r="E916" t="str">
        <f t="shared" si="1"/>
        <v>9.8</v>
      </c>
      <c r="F916">
        <v>2.0</v>
      </c>
      <c r="G916">
        <v>1.0</v>
      </c>
      <c r="H916" t="str">
        <f t="shared" si="2"/>
        <v>2</v>
      </c>
      <c r="I916">
        <v>96.0</v>
      </c>
      <c r="J916" t="str">
        <f t="shared" si="3"/>
        <v>304.8</v>
      </c>
      <c r="K916" t="str">
        <f t="shared" si="4"/>
        <v>1014.984</v>
      </c>
      <c r="L916" t="str">
        <f t="shared" si="5"/>
        <v>50.7492</v>
      </c>
      <c r="M916" t="str">
        <f t="shared" si="6"/>
        <v>333</v>
      </c>
      <c r="N916" t="s">
        <v>182</v>
      </c>
      <c r="O916" t="s">
        <v>1732</v>
      </c>
    </row>
    <row r="917" ht="15.75" customHeight="1">
      <c r="A917">
        <v>919.0</v>
      </c>
      <c r="B917">
        <v>125.0</v>
      </c>
      <c r="C917">
        <v>165.0</v>
      </c>
      <c r="D917">
        <v>3.0</v>
      </c>
      <c r="E917" t="str">
        <f t="shared" si="1"/>
        <v>6.45</v>
      </c>
      <c r="F917">
        <v>2.0</v>
      </c>
      <c r="G917">
        <v>2.0</v>
      </c>
      <c r="H917" t="str">
        <f t="shared" si="2"/>
        <v>4</v>
      </c>
      <c r="I917">
        <v>108.0</v>
      </c>
      <c r="J917" t="str">
        <f t="shared" si="3"/>
        <v>342.9</v>
      </c>
      <c r="K917" t="str">
        <f t="shared" si="4"/>
        <v>936.117</v>
      </c>
      <c r="L917" t="str">
        <f t="shared" si="5"/>
        <v>23.402925</v>
      </c>
      <c r="M917" t="str">
        <f t="shared" si="6"/>
        <v>273</v>
      </c>
      <c r="N917" t="s">
        <v>182</v>
      </c>
      <c r="O917" t="s">
        <v>1733</v>
      </c>
    </row>
    <row r="918" ht="15.75" customHeight="1">
      <c r="A918">
        <v>920.0</v>
      </c>
      <c r="B918">
        <v>64.0</v>
      </c>
      <c r="C918">
        <v>28.0</v>
      </c>
      <c r="D918">
        <v>3.0</v>
      </c>
      <c r="E918" t="str">
        <f t="shared" si="1"/>
        <v>3.115</v>
      </c>
      <c r="F918">
        <v>3.0</v>
      </c>
      <c r="G918">
        <v>10.0</v>
      </c>
      <c r="H918" t="str">
        <f t="shared" si="2"/>
        <v>30</v>
      </c>
      <c r="I918">
        <v>98.0</v>
      </c>
      <c r="J918" t="str">
        <f t="shared" si="3"/>
        <v>311.15</v>
      </c>
      <c r="K918" t="str">
        <f t="shared" si="4"/>
        <v>678.307</v>
      </c>
      <c r="L918" t="str">
        <f t="shared" si="5"/>
        <v>2.261023333</v>
      </c>
      <c r="M918" t="str">
        <f t="shared" si="6"/>
        <v>218</v>
      </c>
      <c r="N918" t="s">
        <v>182</v>
      </c>
      <c r="O918" t="s">
        <v>1734</v>
      </c>
      <c r="P918" s="126" t="s">
        <v>1735</v>
      </c>
    </row>
    <row r="919" ht="15.75" customHeight="1">
      <c r="A919">
        <v>921.0</v>
      </c>
      <c r="B919">
        <v>18.0</v>
      </c>
      <c r="C919">
        <v>100.0</v>
      </c>
      <c r="D919">
        <v>3.0</v>
      </c>
      <c r="E919" t="str">
        <f t="shared" si="1"/>
        <v>3.716666667</v>
      </c>
      <c r="F919">
        <v>13.0</v>
      </c>
      <c r="G919">
        <v>3.0</v>
      </c>
      <c r="H919" t="str">
        <f t="shared" si="2"/>
        <v>39</v>
      </c>
      <c r="I919">
        <v>98.0</v>
      </c>
      <c r="J919" t="str">
        <f t="shared" si="3"/>
        <v>311.15</v>
      </c>
      <c r="K919" t="str">
        <f t="shared" si="4"/>
        <v>902.335</v>
      </c>
      <c r="L919" t="str">
        <f t="shared" si="5"/>
        <v>2.313679487</v>
      </c>
      <c r="M919" t="str">
        <f t="shared" si="6"/>
        <v>290</v>
      </c>
      <c r="N919" t="s">
        <v>182</v>
      </c>
      <c r="O919" t="s">
        <v>1736</v>
      </c>
      <c r="P919" s="126" t="s">
        <v>1735</v>
      </c>
    </row>
    <row r="920" ht="15.75" customHeight="1">
      <c r="A920">
        <v>922.0</v>
      </c>
      <c r="B920">
        <v>30.0</v>
      </c>
      <c r="C920">
        <v>93.0</v>
      </c>
      <c r="D920">
        <v>3.0</v>
      </c>
      <c r="E920" t="str">
        <f t="shared" si="1"/>
        <v>4.155</v>
      </c>
      <c r="F920">
        <v>12.0</v>
      </c>
      <c r="G920">
        <v>5.0</v>
      </c>
      <c r="H920" t="str">
        <f t="shared" si="2"/>
        <v>60</v>
      </c>
      <c r="I920">
        <v>153.0</v>
      </c>
      <c r="J920" t="str">
        <f t="shared" si="3"/>
        <v>485.775</v>
      </c>
      <c r="K920" t="str">
        <f t="shared" si="4"/>
        <v>2006.25075</v>
      </c>
      <c r="L920" t="str">
        <f t="shared" si="5"/>
        <v>3.34375125</v>
      </c>
      <c r="M920" t="str">
        <f t="shared" si="6"/>
        <v>413</v>
      </c>
      <c r="N920" t="s">
        <v>182</v>
      </c>
      <c r="O920" t="s">
        <v>1737</v>
      </c>
    </row>
    <row r="921" ht="15.75" customHeight="1">
      <c r="A921">
        <v>923.0</v>
      </c>
      <c r="B921">
        <v>80.0</v>
      </c>
      <c r="C921">
        <v>50.0</v>
      </c>
      <c r="D921">
        <v>5.0</v>
      </c>
      <c r="E921" t="str">
        <f t="shared" si="1"/>
        <v>3.578125</v>
      </c>
      <c r="F921">
        <v>4.0</v>
      </c>
      <c r="G921">
        <v>8.0</v>
      </c>
      <c r="H921" t="str">
        <f t="shared" si="2"/>
        <v>32</v>
      </c>
      <c r="I921">
        <v>135.0</v>
      </c>
      <c r="J921" t="str">
        <f t="shared" si="3"/>
        <v>428.625</v>
      </c>
      <c r="K921" t="str">
        <f t="shared" si="4"/>
        <v>1530.19125</v>
      </c>
      <c r="L921" t="str">
        <f t="shared" si="5"/>
        <v>4.781847656</v>
      </c>
      <c r="M921" t="str">
        <f t="shared" si="6"/>
        <v>357</v>
      </c>
      <c r="N921" t="s">
        <v>187</v>
      </c>
      <c r="O921" t="s">
        <v>1738</v>
      </c>
      <c r="P921" t="s">
        <v>1739</v>
      </c>
    </row>
    <row r="922" ht="15.75" customHeight="1">
      <c r="A922">
        <v>924.0</v>
      </c>
      <c r="B922">
        <v>200.0</v>
      </c>
      <c r="C922">
        <v>153.0</v>
      </c>
      <c r="D922">
        <v>4.0</v>
      </c>
      <c r="E922" t="str">
        <f t="shared" si="1"/>
        <v>3.633333333</v>
      </c>
      <c r="F922">
        <v>2.0</v>
      </c>
      <c r="G922">
        <v>3.0</v>
      </c>
      <c r="H922" t="str">
        <f t="shared" si="2"/>
        <v>6</v>
      </c>
      <c r="I922">
        <v>148.0</v>
      </c>
      <c r="J922" t="str">
        <f t="shared" si="3"/>
        <v>469.9</v>
      </c>
      <c r="K922" t="str">
        <f t="shared" si="4"/>
        <v>1997.075</v>
      </c>
      <c r="L922" t="str">
        <f t="shared" si="5"/>
        <v>33.28458333</v>
      </c>
      <c r="M922" t="str">
        <f t="shared" si="6"/>
        <v>425</v>
      </c>
      <c r="N922" t="s">
        <v>187</v>
      </c>
      <c r="O922" t="s">
        <v>1740</v>
      </c>
      <c r="P922" t="s">
        <v>1741</v>
      </c>
    </row>
    <row r="923" ht="15.75" customHeight="1">
      <c r="A923">
        <v>925.0</v>
      </c>
      <c r="B923">
        <v>170.0</v>
      </c>
      <c r="C923">
        <v>185.0</v>
      </c>
      <c r="D923">
        <v>3.0</v>
      </c>
      <c r="E923" t="str">
        <f t="shared" si="1"/>
        <v>5.5</v>
      </c>
      <c r="F923">
        <v>2.0</v>
      </c>
      <c r="G923">
        <v>2.0</v>
      </c>
      <c r="H923" t="str">
        <f t="shared" si="2"/>
        <v>4</v>
      </c>
      <c r="I923">
        <v>120.0</v>
      </c>
      <c r="J923" t="str">
        <f t="shared" si="3"/>
        <v>381</v>
      </c>
      <c r="K923" t="str">
        <f t="shared" si="4"/>
        <v>1383.03</v>
      </c>
      <c r="L923" t="str">
        <f t="shared" si="5"/>
        <v>34.57575</v>
      </c>
      <c r="M923" t="str">
        <f t="shared" si="6"/>
        <v>363</v>
      </c>
      <c r="N923" t="s">
        <v>187</v>
      </c>
      <c r="O923" t="s">
        <v>1742</v>
      </c>
      <c r="P923" t="s">
        <v>1741</v>
      </c>
    </row>
    <row r="924" ht="15.75" customHeight="1">
      <c r="A924">
        <v>926.0</v>
      </c>
      <c r="B924">
        <v>160.0</v>
      </c>
      <c r="C924">
        <v>270.0</v>
      </c>
      <c r="D924">
        <v>3.0</v>
      </c>
      <c r="E924" t="str">
        <f t="shared" si="1"/>
        <v>9.4</v>
      </c>
      <c r="F924">
        <v>2.0</v>
      </c>
      <c r="G924">
        <v>2.0</v>
      </c>
      <c r="H924" t="str">
        <f t="shared" si="2"/>
        <v>4</v>
      </c>
      <c r="I924">
        <v>176.0</v>
      </c>
      <c r="J924" t="str">
        <f t="shared" si="3"/>
        <v>558.8</v>
      </c>
      <c r="K924" t="str">
        <f t="shared" si="4"/>
        <v>1916.684</v>
      </c>
      <c r="L924" t="str">
        <f t="shared" si="5"/>
        <v>47.9171</v>
      </c>
      <c r="M924" t="str">
        <f t="shared" si="6"/>
        <v>343</v>
      </c>
      <c r="N924" t="s">
        <v>182</v>
      </c>
      <c r="O924" t="s">
        <v>1743</v>
      </c>
    </row>
    <row r="925" ht="15.75" customHeight="1">
      <c r="A925">
        <v>927.0</v>
      </c>
      <c r="B925">
        <v>28.0</v>
      </c>
      <c r="C925">
        <v>85.0</v>
      </c>
      <c r="D925">
        <v>3.0</v>
      </c>
      <c r="E925" t="str">
        <f t="shared" si="1"/>
        <v>3.9</v>
      </c>
      <c r="F925">
        <v>8.0</v>
      </c>
      <c r="G925">
        <v>3.0</v>
      </c>
      <c r="H925" t="str">
        <f t="shared" si="2"/>
        <v>24</v>
      </c>
      <c r="I925">
        <v>84.0</v>
      </c>
      <c r="J925" t="str">
        <f t="shared" si="3"/>
        <v>266.7</v>
      </c>
      <c r="K925" t="str">
        <f t="shared" si="4"/>
        <v>706.755</v>
      </c>
      <c r="L925" t="str">
        <f t="shared" si="5"/>
        <v>2.9448125</v>
      </c>
      <c r="M925" t="str">
        <f t="shared" si="6"/>
        <v>265</v>
      </c>
      <c r="N925" t="s">
        <v>182</v>
      </c>
      <c r="O925" t="s">
        <v>1744</v>
      </c>
    </row>
    <row r="926" ht="15.75" customHeight="1">
      <c r="A926">
        <v>928.0</v>
      </c>
      <c r="B926">
        <v>75.0</v>
      </c>
      <c r="C926">
        <v>125.0</v>
      </c>
      <c r="D926">
        <v>3.0</v>
      </c>
      <c r="E926" t="str">
        <f t="shared" si="1"/>
        <v>5.96875</v>
      </c>
      <c r="F926">
        <v>3.0</v>
      </c>
      <c r="G926">
        <v>4.0</v>
      </c>
      <c r="H926" t="str">
        <f t="shared" si="2"/>
        <v>12</v>
      </c>
      <c r="I926">
        <v>165.0</v>
      </c>
      <c r="J926" t="str">
        <f t="shared" si="3"/>
        <v>523.875</v>
      </c>
      <c r="K926" t="str">
        <f t="shared" si="4"/>
        <v>1314.92625</v>
      </c>
      <c r="L926" t="str">
        <f t="shared" si="5"/>
        <v>10.95771875</v>
      </c>
      <c r="M926" t="str">
        <f t="shared" si="6"/>
        <v>251</v>
      </c>
      <c r="N926" t="s">
        <v>182</v>
      </c>
      <c r="O926" t="s">
        <v>1745</v>
      </c>
    </row>
    <row r="927" ht="15.75" customHeight="1">
      <c r="A927">
        <v>929.0</v>
      </c>
      <c r="B927">
        <v>120.0</v>
      </c>
      <c r="C927">
        <v>50.0</v>
      </c>
      <c r="D927">
        <v>3.0</v>
      </c>
      <c r="E927" t="str">
        <f t="shared" si="1"/>
        <v>3.975</v>
      </c>
      <c r="F927">
        <v>2.0</v>
      </c>
      <c r="G927">
        <v>6.0</v>
      </c>
      <c r="H927" t="str">
        <f t="shared" si="2"/>
        <v>12</v>
      </c>
      <c r="I927">
        <v>102.0</v>
      </c>
      <c r="J927" t="str">
        <f t="shared" si="3"/>
        <v>323.85</v>
      </c>
      <c r="K927" t="str">
        <f t="shared" si="4"/>
        <v>851.7255</v>
      </c>
      <c r="L927" t="str">
        <f t="shared" si="5"/>
        <v>7.0977125</v>
      </c>
      <c r="M927" t="str">
        <f t="shared" si="6"/>
        <v>263</v>
      </c>
      <c r="N927" t="s">
        <v>182</v>
      </c>
      <c r="O927" t="s">
        <v>1746</v>
      </c>
      <c r="P927" s="126" t="s">
        <v>1747</v>
      </c>
    </row>
    <row r="928" ht="15.75" customHeight="1">
      <c r="A928">
        <v>930.0</v>
      </c>
      <c r="B928">
        <v>100.0</v>
      </c>
      <c r="C928">
        <v>40.0</v>
      </c>
      <c r="D928">
        <v>3.0</v>
      </c>
      <c r="E928" t="str">
        <f t="shared" si="1"/>
        <v>2.8625</v>
      </c>
      <c r="F928">
        <v>2.0</v>
      </c>
      <c r="G928">
        <v>8.0</v>
      </c>
      <c r="H928" t="str">
        <f t="shared" si="2"/>
        <v>16</v>
      </c>
      <c r="I928">
        <v>108.0</v>
      </c>
      <c r="J928" t="str">
        <f t="shared" si="3"/>
        <v>342.9</v>
      </c>
      <c r="K928" t="str">
        <f t="shared" si="4"/>
        <v>764.667</v>
      </c>
      <c r="L928" t="str">
        <f t="shared" si="5"/>
        <v>4.77916875</v>
      </c>
      <c r="M928" t="str">
        <f t="shared" si="6"/>
        <v>223</v>
      </c>
      <c r="N928" t="s">
        <v>182</v>
      </c>
      <c r="O928" t="s">
        <v>1748</v>
      </c>
      <c r="P928" s="126" t="s">
        <v>1749</v>
      </c>
    </row>
    <row r="929" ht="15.75" customHeight="1">
      <c r="A929">
        <v>931.0</v>
      </c>
      <c r="B929">
        <v>82.5</v>
      </c>
      <c r="C929">
        <v>51.0</v>
      </c>
      <c r="D929">
        <v>3.0</v>
      </c>
      <c r="E929" t="str">
        <f t="shared" si="1"/>
        <v>2.975</v>
      </c>
      <c r="F929">
        <v>4.0</v>
      </c>
      <c r="G929">
        <v>6.0</v>
      </c>
      <c r="H929" t="str">
        <f t="shared" si="2"/>
        <v>24</v>
      </c>
      <c r="I929">
        <v>102.0</v>
      </c>
      <c r="J929" t="str">
        <f t="shared" si="3"/>
        <v>323.85</v>
      </c>
      <c r="K929" t="str">
        <f t="shared" si="4"/>
        <v>1162.6215</v>
      </c>
      <c r="L929" t="str">
        <f t="shared" si="5"/>
        <v>4.84425625</v>
      </c>
      <c r="M929" t="str">
        <f t="shared" si="6"/>
        <v>359</v>
      </c>
      <c r="N929" t="s">
        <v>182</v>
      </c>
      <c r="O929" t="s">
        <v>1750</v>
      </c>
      <c r="P929" t="s">
        <v>1751</v>
      </c>
    </row>
    <row r="930" ht="15.75" customHeight="1">
      <c r="A930">
        <v>932.0</v>
      </c>
      <c r="B930">
        <v>135.0</v>
      </c>
      <c r="C930">
        <v>65.0</v>
      </c>
      <c r="D930">
        <v>5.0</v>
      </c>
      <c r="E930" t="str">
        <f t="shared" si="1"/>
        <v>3.58</v>
      </c>
      <c r="F930">
        <v>2.0</v>
      </c>
      <c r="G930">
        <v>5.0</v>
      </c>
      <c r="H930" t="str">
        <f t="shared" si="2"/>
        <v>10</v>
      </c>
      <c r="I930">
        <v>108.0</v>
      </c>
      <c r="J930" t="str">
        <f t="shared" si="3"/>
        <v>342.9</v>
      </c>
      <c r="K930" t="str">
        <f t="shared" si="4"/>
        <v>1018.413</v>
      </c>
      <c r="L930" t="str">
        <f t="shared" si="5"/>
        <v>10.18413</v>
      </c>
      <c r="M930" t="str">
        <f t="shared" si="6"/>
        <v>297</v>
      </c>
      <c r="N930" t="s">
        <v>187</v>
      </c>
      <c r="O930" t="s">
        <v>1752</v>
      </c>
      <c r="P930" t="s">
        <v>1753</v>
      </c>
    </row>
    <row r="931" ht="15.75" customHeight="1">
      <c r="A931">
        <v>933.0</v>
      </c>
      <c r="B931">
        <v>147.0</v>
      </c>
      <c r="C931">
        <v>13.5</v>
      </c>
      <c r="D931">
        <v>0.0</v>
      </c>
      <c r="E931" t="str">
        <f t="shared" si="1"/>
        <v>3.16875</v>
      </c>
      <c r="F931">
        <v>1.0</v>
      </c>
      <c r="G931">
        <v>16.0</v>
      </c>
      <c r="H931" t="str">
        <f t="shared" si="2"/>
        <v>16</v>
      </c>
      <c r="I931">
        <v>84.0</v>
      </c>
      <c r="J931" t="str">
        <f t="shared" si="3"/>
        <v>266.7</v>
      </c>
      <c r="K931" t="str">
        <f t="shared" si="4"/>
        <v>437.388</v>
      </c>
      <c r="L931" t="str">
        <f t="shared" si="5"/>
        <v>2.733675</v>
      </c>
      <c r="M931" t="str">
        <f t="shared" si="6"/>
        <v>164</v>
      </c>
      <c r="N931" t="s">
        <v>182</v>
      </c>
      <c r="O931" t="s">
        <v>1754</v>
      </c>
      <c r="P931" t="s">
        <v>1755</v>
      </c>
    </row>
    <row r="932" ht="15.75" customHeight="1">
      <c r="A932">
        <v>934.0</v>
      </c>
      <c r="B932">
        <v>147.0</v>
      </c>
      <c r="C932">
        <v>27.0</v>
      </c>
      <c r="D932" t="str">
        <f>-D9818</f>
        <v>0</v>
      </c>
      <c r="E932" t="str">
        <f t="shared" si="1"/>
        <v>3.338888889</v>
      </c>
      <c r="F932">
        <v>1.0</v>
      </c>
      <c r="G932">
        <v>9.0</v>
      </c>
      <c r="H932" t="str">
        <f t="shared" si="2"/>
        <v>9</v>
      </c>
      <c r="I932">
        <v>86.0</v>
      </c>
      <c r="J932" t="str">
        <f t="shared" si="3"/>
        <v>273.05</v>
      </c>
      <c r="K932" t="str">
        <f t="shared" si="4"/>
        <v>447.802</v>
      </c>
      <c r="L932" t="str">
        <f t="shared" si="5"/>
        <v>4.975577778</v>
      </c>
      <c r="M932" t="str">
        <f t="shared" si="6"/>
        <v>164</v>
      </c>
      <c r="N932" t="s">
        <v>182</v>
      </c>
      <c r="O932" t="s">
        <v>1756</v>
      </c>
      <c r="P932" t="s">
        <v>1757</v>
      </c>
    </row>
    <row r="933" ht="15.75" customHeight="1">
      <c r="A933">
        <v>935.0</v>
      </c>
      <c r="B933">
        <v>58.0</v>
      </c>
      <c r="C933">
        <v>18.0</v>
      </c>
      <c r="D933">
        <v>3.0</v>
      </c>
      <c r="E933" t="str">
        <f t="shared" si="1"/>
        <v>3.003846154</v>
      </c>
      <c r="F933">
        <v>4.0</v>
      </c>
      <c r="G933">
        <v>13.0</v>
      </c>
      <c r="H933" t="str">
        <f t="shared" si="2"/>
        <v>52</v>
      </c>
      <c r="I933">
        <v>86.0</v>
      </c>
      <c r="J933" t="str">
        <f t="shared" si="3"/>
        <v>273.05</v>
      </c>
      <c r="K933" t="str">
        <f t="shared" si="4"/>
        <v>712.6605</v>
      </c>
      <c r="L933" t="str">
        <f t="shared" si="5"/>
        <v>1.370500962</v>
      </c>
      <c r="M933" t="str">
        <f t="shared" si="6"/>
        <v>261</v>
      </c>
      <c r="N933" t="s">
        <v>182</v>
      </c>
      <c r="O933" t="s">
        <v>1758</v>
      </c>
      <c r="P933" t="s">
        <v>1755</v>
      </c>
    </row>
    <row r="934" ht="15.75" customHeight="1">
      <c r="A934">
        <v>936.0</v>
      </c>
      <c r="B934">
        <v>58.2</v>
      </c>
      <c r="C934">
        <v>18.0</v>
      </c>
      <c r="D934">
        <v>3.0</v>
      </c>
      <c r="E934" t="str">
        <f t="shared" si="1"/>
        <v>3.003846154</v>
      </c>
      <c r="F934">
        <v>4.0</v>
      </c>
      <c r="G934">
        <v>13.0</v>
      </c>
      <c r="H934" t="str">
        <f t="shared" si="2"/>
        <v>52</v>
      </c>
      <c r="I934">
        <v>86.0</v>
      </c>
      <c r="J934" t="str">
        <f t="shared" si="3"/>
        <v>273.05</v>
      </c>
      <c r="K934" t="str">
        <f t="shared" si="4"/>
        <v>714.8449</v>
      </c>
      <c r="L934" t="str">
        <f t="shared" si="5"/>
        <v>1.374701731</v>
      </c>
      <c r="M934" t="str">
        <f t="shared" si="6"/>
        <v>261.8</v>
      </c>
      <c r="N934" t="s">
        <v>182</v>
      </c>
      <c r="O934" t="s">
        <v>1759</v>
      </c>
      <c r="P934" t="s">
        <v>1760</v>
      </c>
    </row>
    <row r="935" ht="15.75" customHeight="1">
      <c r="A935">
        <v>937.0</v>
      </c>
      <c r="B935">
        <v>147.0</v>
      </c>
      <c r="C935">
        <v>13.5</v>
      </c>
      <c r="D935">
        <v>0.0</v>
      </c>
      <c r="E935" t="str">
        <f t="shared" si="1"/>
        <v>3.16875</v>
      </c>
      <c r="F935">
        <v>1.0</v>
      </c>
      <c r="G935">
        <v>16.0</v>
      </c>
      <c r="H935" t="str">
        <f t="shared" si="2"/>
        <v>16</v>
      </c>
      <c r="I935">
        <v>84.0</v>
      </c>
      <c r="J935" t="str">
        <f t="shared" si="3"/>
        <v>266.7</v>
      </c>
      <c r="K935" t="str">
        <f t="shared" si="4"/>
        <v>437.388</v>
      </c>
      <c r="L935" t="str">
        <f t="shared" si="5"/>
        <v>2.733675</v>
      </c>
      <c r="M935" t="str">
        <f t="shared" si="6"/>
        <v>164</v>
      </c>
      <c r="N935" t="s">
        <v>182</v>
      </c>
      <c r="O935" t="s">
        <v>1761</v>
      </c>
      <c r="P935" t="s">
        <v>1760</v>
      </c>
    </row>
    <row r="936" ht="15.75" customHeight="1">
      <c r="A936">
        <v>938.0</v>
      </c>
      <c r="B936">
        <v>147.0</v>
      </c>
      <c r="C936">
        <v>27.0</v>
      </c>
      <c r="D936">
        <v>0.0</v>
      </c>
      <c r="E936" t="str">
        <f t="shared" si="1"/>
        <v>3.338888889</v>
      </c>
      <c r="F936">
        <v>1.0</v>
      </c>
      <c r="G936">
        <v>9.0</v>
      </c>
      <c r="H936" t="str">
        <f t="shared" si="2"/>
        <v>9</v>
      </c>
      <c r="I936">
        <v>86.0</v>
      </c>
      <c r="J936" t="str">
        <f t="shared" si="3"/>
        <v>273.05</v>
      </c>
      <c r="K936" t="str">
        <f t="shared" si="4"/>
        <v>447.802</v>
      </c>
      <c r="L936" t="str">
        <f t="shared" si="5"/>
        <v>4.975577778</v>
      </c>
      <c r="M936" t="str">
        <f t="shared" si="6"/>
        <v>164</v>
      </c>
      <c r="N936" t="s">
        <v>182</v>
      </c>
      <c r="O936" t="s">
        <v>1762</v>
      </c>
      <c r="P936" t="s">
        <v>1757</v>
      </c>
    </row>
    <row r="937" ht="15.75" customHeight="1">
      <c r="A937">
        <v>939.0</v>
      </c>
      <c r="B937">
        <v>105.0</v>
      </c>
      <c r="C937">
        <v>50.0</v>
      </c>
      <c r="D937">
        <v>3.0</v>
      </c>
      <c r="E937" t="str">
        <f t="shared" si="1"/>
        <v>3.975</v>
      </c>
      <c r="F937">
        <v>2.0</v>
      </c>
      <c r="G937">
        <v>6.0</v>
      </c>
      <c r="H937" t="str">
        <f t="shared" si="2"/>
        <v>12</v>
      </c>
      <c r="I937">
        <v>102.0</v>
      </c>
      <c r="J937" t="str">
        <f t="shared" si="3"/>
        <v>323.85</v>
      </c>
      <c r="K937" t="str">
        <f t="shared" si="4"/>
        <v>754.5705</v>
      </c>
      <c r="L937" t="str">
        <f t="shared" si="5"/>
        <v>6.2880875</v>
      </c>
      <c r="M937" t="str">
        <f t="shared" si="6"/>
        <v>233</v>
      </c>
      <c r="N937" t="s">
        <v>182</v>
      </c>
      <c r="O937" t="s">
        <v>1763</v>
      </c>
    </row>
    <row r="938" ht="15.75" customHeight="1">
      <c r="A938">
        <v>940.0</v>
      </c>
      <c r="B938">
        <v>95.0</v>
      </c>
      <c r="C938">
        <v>38.0</v>
      </c>
      <c r="D938">
        <v>3.0</v>
      </c>
      <c r="E938" t="str">
        <f t="shared" si="1"/>
        <v>2.821428571</v>
      </c>
      <c r="F938">
        <v>2.0</v>
      </c>
      <c r="G938">
        <v>7.0</v>
      </c>
      <c r="H938" t="str">
        <f t="shared" si="2"/>
        <v>14</v>
      </c>
      <c r="I938">
        <v>90.0</v>
      </c>
      <c r="J938" t="str">
        <f t="shared" si="3"/>
        <v>285.75</v>
      </c>
      <c r="K938" t="str">
        <f t="shared" si="4"/>
        <v>608.6475</v>
      </c>
      <c r="L938" t="str">
        <f t="shared" si="5"/>
        <v>4.347482143</v>
      </c>
      <c r="M938" t="str">
        <f t="shared" si="6"/>
        <v>213</v>
      </c>
      <c r="N938" t="s">
        <v>187</v>
      </c>
      <c r="O938" t="s">
        <v>1764</v>
      </c>
      <c r="P938" t="s">
        <v>1765</v>
      </c>
    </row>
    <row r="939" ht="15.75" customHeight="1">
      <c r="A939">
        <v>941.0</v>
      </c>
      <c r="B939">
        <v>100.0</v>
      </c>
      <c r="C939">
        <v>70.0</v>
      </c>
      <c r="D939">
        <v>3.0</v>
      </c>
      <c r="E939" t="str">
        <f t="shared" si="1"/>
        <v>4.839285714</v>
      </c>
      <c r="F939">
        <v>4.0</v>
      </c>
      <c r="G939">
        <v>7.0</v>
      </c>
      <c r="H939" t="str">
        <f t="shared" si="2"/>
        <v>28</v>
      </c>
      <c r="I939">
        <v>165.0</v>
      </c>
      <c r="J939" t="str">
        <f t="shared" si="3"/>
        <v>523.875</v>
      </c>
      <c r="K939" t="str">
        <f t="shared" si="4"/>
        <v>2247.42375</v>
      </c>
      <c r="L939" t="str">
        <f t="shared" si="5"/>
        <v>8.026513393</v>
      </c>
      <c r="M939" t="str">
        <f t="shared" si="6"/>
        <v>429</v>
      </c>
      <c r="N939" t="s">
        <v>182</v>
      </c>
      <c r="O939" t="s">
        <v>1766</v>
      </c>
    </row>
    <row r="940" ht="15.75" customHeight="1">
      <c r="A940">
        <v>942.0</v>
      </c>
      <c r="B940">
        <v>18.0</v>
      </c>
      <c r="C940">
        <v>67.0</v>
      </c>
      <c r="D940">
        <v>3.0</v>
      </c>
      <c r="E940" t="str">
        <f t="shared" si="1"/>
        <v>2.85</v>
      </c>
      <c r="F940">
        <v>13.0</v>
      </c>
      <c r="G940">
        <v>4.0</v>
      </c>
      <c r="H940" t="str">
        <f t="shared" si="2"/>
        <v>52</v>
      </c>
      <c r="I940">
        <v>88.0</v>
      </c>
      <c r="J940" t="str">
        <f t="shared" si="3"/>
        <v>279.4</v>
      </c>
      <c r="K940" t="str">
        <f t="shared" si="4"/>
        <v>810.26</v>
      </c>
      <c r="L940" t="str">
        <f t="shared" si="5"/>
        <v>1.558192308</v>
      </c>
      <c r="M940" t="str">
        <f t="shared" si="6"/>
        <v>290</v>
      </c>
      <c r="N940" t="s">
        <v>182</v>
      </c>
      <c r="O940" t="s">
        <v>1767</v>
      </c>
    </row>
    <row r="941" ht="15.75" customHeight="1">
      <c r="A941">
        <v>943.0</v>
      </c>
      <c r="B941">
        <v>150.0</v>
      </c>
      <c r="C941">
        <v>140.0</v>
      </c>
      <c r="D941">
        <v>3.0</v>
      </c>
      <c r="E941" t="str">
        <f t="shared" si="1"/>
        <v>2.875</v>
      </c>
      <c r="F941">
        <v>2.0</v>
      </c>
      <c r="G941">
        <v>3.0</v>
      </c>
      <c r="H941" t="str">
        <f t="shared" si="2"/>
        <v>6</v>
      </c>
      <c r="I941">
        <v>135.0</v>
      </c>
      <c r="J941" t="str">
        <f t="shared" si="3"/>
        <v>428.625</v>
      </c>
      <c r="K941" t="str">
        <f t="shared" si="4"/>
        <v>1384.45875</v>
      </c>
      <c r="L941" t="str">
        <f t="shared" si="5"/>
        <v>23.0743125</v>
      </c>
      <c r="M941" t="str">
        <f t="shared" si="6"/>
        <v>323</v>
      </c>
      <c r="N941" t="s">
        <v>182</v>
      </c>
      <c r="O941" t="s">
        <v>1768</v>
      </c>
    </row>
    <row r="942" ht="15.75" customHeight="1">
      <c r="A942">
        <v>944.0</v>
      </c>
      <c r="B942">
        <v>110.0</v>
      </c>
      <c r="C942">
        <v>110.0</v>
      </c>
      <c r="D942">
        <v>3.0</v>
      </c>
      <c r="E942" t="str">
        <f t="shared" si="1"/>
        <v>4.3</v>
      </c>
      <c r="F942">
        <v>2.0</v>
      </c>
      <c r="G942">
        <v>3.0</v>
      </c>
      <c r="H942" t="str">
        <f t="shared" si="2"/>
        <v>6</v>
      </c>
      <c r="I942">
        <v>108.0</v>
      </c>
      <c r="J942" t="str">
        <f t="shared" si="3"/>
        <v>342.9</v>
      </c>
      <c r="K942" t="str">
        <f t="shared" si="4"/>
        <v>833.247</v>
      </c>
      <c r="L942" t="str">
        <f t="shared" si="5"/>
        <v>13.88745</v>
      </c>
      <c r="M942" t="str">
        <f t="shared" si="6"/>
        <v>243</v>
      </c>
      <c r="N942" t="s">
        <v>182</v>
      </c>
      <c r="O942" t="s">
        <v>1769</v>
      </c>
    </row>
    <row r="943" ht="15.75" customHeight="1">
      <c r="A943">
        <v>945.0</v>
      </c>
      <c r="B943">
        <v>37.0</v>
      </c>
      <c r="C943">
        <v>137.0</v>
      </c>
      <c r="D943">
        <v>3.0</v>
      </c>
      <c r="E943" t="str">
        <f t="shared" si="1"/>
        <v>2.7</v>
      </c>
      <c r="F943">
        <v>8.0</v>
      </c>
      <c r="G943">
        <v>2.0</v>
      </c>
      <c r="H943" t="str">
        <f t="shared" si="2"/>
        <v>16</v>
      </c>
      <c r="I943">
        <v>88.0</v>
      </c>
      <c r="J943" t="str">
        <f t="shared" si="3"/>
        <v>279.4</v>
      </c>
      <c r="K943" t="str">
        <f t="shared" si="4"/>
        <v>941.578</v>
      </c>
      <c r="L943" t="str">
        <f t="shared" si="5"/>
        <v>5.8848625</v>
      </c>
      <c r="M943" t="str">
        <f t="shared" si="6"/>
        <v>337</v>
      </c>
      <c r="N943" t="s">
        <v>182</v>
      </c>
      <c r="O943" t="s">
        <v>1770</v>
      </c>
    </row>
    <row r="944" ht="15.75" customHeight="1">
      <c r="A944">
        <v>946.0</v>
      </c>
      <c r="B944">
        <v>160.0</v>
      </c>
      <c r="C944">
        <v>64.0</v>
      </c>
      <c r="D944">
        <v>3.0</v>
      </c>
      <c r="E944" t="str">
        <f t="shared" si="1"/>
        <v>2.675</v>
      </c>
      <c r="F944">
        <v>2.0</v>
      </c>
      <c r="G944">
        <v>5.0</v>
      </c>
      <c r="H944" t="str">
        <f t="shared" si="2"/>
        <v>10</v>
      </c>
      <c r="I944">
        <v>105.0</v>
      </c>
      <c r="J944" t="str">
        <f t="shared" si="3"/>
        <v>333.375</v>
      </c>
      <c r="K944" t="str">
        <f t="shared" si="4"/>
        <v>1143.47625</v>
      </c>
      <c r="L944" t="str">
        <f t="shared" si="5"/>
        <v>11.4347625</v>
      </c>
      <c r="M944" t="str">
        <f t="shared" si="6"/>
        <v>343</v>
      </c>
      <c r="N944" t="s">
        <v>187</v>
      </c>
      <c r="O944" t="s">
        <v>1771</v>
      </c>
      <c r="P944" t="s">
        <v>1772</v>
      </c>
    </row>
    <row r="945" ht="15.75" customHeight="1">
      <c r="A945">
        <v>947.0</v>
      </c>
      <c r="B945">
        <v>65.0</v>
      </c>
      <c r="C945">
        <v>130.0</v>
      </c>
      <c r="D945">
        <v>3.0</v>
      </c>
      <c r="E945" t="str">
        <f t="shared" si="1"/>
        <v>3.35</v>
      </c>
      <c r="F945">
        <v>4.0</v>
      </c>
      <c r="G945">
        <v>2.0</v>
      </c>
      <c r="H945" t="str">
        <f t="shared" si="2"/>
        <v>8</v>
      </c>
      <c r="I945">
        <v>84.0</v>
      </c>
      <c r="J945" t="str">
        <f t="shared" si="3"/>
        <v>266.7</v>
      </c>
      <c r="K945" t="str">
        <f t="shared" si="4"/>
        <v>770.763</v>
      </c>
      <c r="L945" t="str">
        <f t="shared" si="5"/>
        <v>9.6345375</v>
      </c>
      <c r="M945" t="str">
        <f t="shared" si="6"/>
        <v>289</v>
      </c>
      <c r="N945" t="s">
        <v>182</v>
      </c>
      <c r="O945" t="s">
        <v>1773</v>
      </c>
      <c r="P945" t="s">
        <v>1774</v>
      </c>
    </row>
    <row r="946" ht="15.75" customHeight="1">
      <c r="A946">
        <v>948.0</v>
      </c>
      <c r="B946">
        <v>79.0</v>
      </c>
      <c r="C946">
        <v>23.4</v>
      </c>
      <c r="D946">
        <v>6.0</v>
      </c>
      <c r="E946" t="str">
        <f t="shared" si="1"/>
        <v>2</v>
      </c>
      <c r="F946">
        <v>2.0</v>
      </c>
      <c r="G946">
        <v>11.0</v>
      </c>
      <c r="H946" t="str">
        <f t="shared" si="2"/>
        <v>22</v>
      </c>
      <c r="I946">
        <v>88.0</v>
      </c>
      <c r="J946" t="str">
        <f t="shared" si="3"/>
        <v>279.4</v>
      </c>
      <c r="K946" t="str">
        <f t="shared" si="4"/>
        <v>522.478</v>
      </c>
      <c r="L946" t="str">
        <f t="shared" si="5"/>
        <v>2.3749</v>
      </c>
      <c r="M946" t="str">
        <f t="shared" si="6"/>
        <v>187</v>
      </c>
      <c r="N946" t="s">
        <v>182</v>
      </c>
      <c r="O946" t="s">
        <v>1775</v>
      </c>
      <c r="P946" t="s">
        <v>1776</v>
      </c>
    </row>
    <row r="947" ht="15.75" customHeight="1">
      <c r="A947">
        <v>949.0</v>
      </c>
      <c r="B947">
        <v>20.0</v>
      </c>
      <c r="C947">
        <v>83.0</v>
      </c>
      <c r="D947">
        <v>3.0</v>
      </c>
      <c r="E947" t="str">
        <f t="shared" si="1"/>
        <v>2.725</v>
      </c>
      <c r="F947">
        <v>17.0</v>
      </c>
      <c r="G947">
        <v>4.0</v>
      </c>
      <c r="H947" t="str">
        <f t="shared" si="2"/>
        <v>68</v>
      </c>
      <c r="I947">
        <v>108.0</v>
      </c>
      <c r="J947" t="str">
        <f t="shared" si="3"/>
        <v>342.9</v>
      </c>
      <c r="K947" t="str">
        <f t="shared" si="4"/>
        <v>1399.032</v>
      </c>
      <c r="L947" t="str">
        <f t="shared" si="5"/>
        <v>2.0574</v>
      </c>
      <c r="M947" t="str">
        <f t="shared" si="6"/>
        <v>408</v>
      </c>
      <c r="N947" t="s">
        <v>182</v>
      </c>
      <c r="O947" t="s">
        <v>1777</v>
      </c>
    </row>
    <row r="948" ht="15.75" customHeight="1">
      <c r="A948">
        <v>950.0</v>
      </c>
      <c r="B948">
        <v>160.0</v>
      </c>
      <c r="C948">
        <v>70.0</v>
      </c>
      <c r="D948">
        <v>3.0</v>
      </c>
      <c r="E948" t="str">
        <f t="shared" si="1"/>
        <v>-22.375</v>
      </c>
      <c r="F948">
        <v>2.0</v>
      </c>
      <c r="G948">
        <v>7.0</v>
      </c>
      <c r="H948" t="str">
        <f t="shared" si="2"/>
        <v>14</v>
      </c>
      <c r="I948">
        <v>105.0</v>
      </c>
      <c r="J948" t="str">
        <f t="shared" si="3"/>
        <v>333.375</v>
      </c>
      <c r="K948" t="str">
        <f t="shared" si="4"/>
        <v>1143.47625</v>
      </c>
      <c r="L948" t="str">
        <f t="shared" si="5"/>
        <v>8.1676875</v>
      </c>
      <c r="M948" t="str">
        <f t="shared" si="6"/>
        <v>343</v>
      </c>
      <c r="N948" t="s">
        <v>187</v>
      </c>
      <c r="O948" t="s">
        <v>1778</v>
      </c>
      <c r="P948" t="s">
        <v>1779</v>
      </c>
    </row>
    <row r="949" ht="15.75" customHeight="1">
      <c r="A949">
        <v>951.0</v>
      </c>
      <c r="B949">
        <v>75.0</v>
      </c>
      <c r="C949">
        <v>40.0</v>
      </c>
      <c r="D949">
        <v>4.0</v>
      </c>
      <c r="E949" t="str">
        <f t="shared" si="1"/>
        <v>2.8625</v>
      </c>
      <c r="F949">
        <v>4.0</v>
      </c>
      <c r="G949">
        <v>8.0</v>
      </c>
      <c r="H949" t="str">
        <f t="shared" si="2"/>
        <v>32</v>
      </c>
      <c r="I949">
        <v>108.0</v>
      </c>
      <c r="J949" t="str">
        <f t="shared" si="3"/>
        <v>342.9</v>
      </c>
      <c r="K949" t="str">
        <f t="shared" si="4"/>
        <v>1141.857</v>
      </c>
      <c r="L949" t="str">
        <f t="shared" si="5"/>
        <v>3.568303125</v>
      </c>
      <c r="M949" t="str">
        <f t="shared" si="6"/>
        <v>333</v>
      </c>
      <c r="N949" t="s">
        <v>182</v>
      </c>
      <c r="O949" t="s">
        <v>1780</v>
      </c>
      <c r="P949" t="s">
        <v>1781</v>
      </c>
    </row>
    <row r="950" ht="15.75" customHeight="1">
      <c r="A950">
        <v>952.0</v>
      </c>
      <c r="B950">
        <v>130.0</v>
      </c>
      <c r="C950">
        <v>120.0</v>
      </c>
      <c r="D950">
        <v>3.0</v>
      </c>
      <c r="E950" t="str">
        <f t="shared" si="1"/>
        <v>7</v>
      </c>
      <c r="F950">
        <v>2.0</v>
      </c>
      <c r="G950">
        <v>3.0</v>
      </c>
      <c r="H950" t="str">
        <f t="shared" si="2"/>
        <v>6</v>
      </c>
      <c r="I950">
        <v>120.0</v>
      </c>
      <c r="J950" t="str">
        <f t="shared" si="3"/>
        <v>381</v>
      </c>
      <c r="K950" t="str">
        <f t="shared" si="4"/>
        <v>1078.23</v>
      </c>
      <c r="L950" t="str">
        <f t="shared" si="5"/>
        <v>17.9705</v>
      </c>
      <c r="M950" t="str">
        <f t="shared" si="6"/>
        <v>283</v>
      </c>
      <c r="N950" t="s">
        <v>182</v>
      </c>
      <c r="O950" t="s">
        <v>1782</v>
      </c>
      <c r="P950" s="126" t="s">
        <v>1783</v>
      </c>
    </row>
    <row r="951" ht="15.75" customHeight="1">
      <c r="A951">
        <v>953.0</v>
      </c>
      <c r="B951">
        <v>163.0</v>
      </c>
      <c r="C951">
        <v>150.0</v>
      </c>
      <c r="D951">
        <v>3.0</v>
      </c>
      <c r="E951" t="str">
        <f t="shared" si="1"/>
        <v>2.4</v>
      </c>
      <c r="F951">
        <v>2.0</v>
      </c>
      <c r="G951">
        <v>2.0</v>
      </c>
      <c r="H951" t="str">
        <f t="shared" si="2"/>
        <v>4</v>
      </c>
      <c r="I951">
        <v>96.0</v>
      </c>
      <c r="J951" t="str">
        <f t="shared" si="3"/>
        <v>304.8</v>
      </c>
      <c r="K951" t="str">
        <f t="shared" si="4"/>
        <v>1063.752</v>
      </c>
      <c r="L951" t="str">
        <f t="shared" si="5"/>
        <v>26.5938</v>
      </c>
      <c r="M951" t="str">
        <f t="shared" si="6"/>
        <v>349</v>
      </c>
      <c r="N951" t="s">
        <v>182</v>
      </c>
      <c r="O951" t="s">
        <v>1784</v>
      </c>
      <c r="P951" s="126" t="s">
        <v>1785</v>
      </c>
    </row>
    <row r="952" ht="15.75" customHeight="1">
      <c r="A952">
        <v>954.0</v>
      </c>
      <c r="B952">
        <v>105.0</v>
      </c>
      <c r="C952">
        <v>300.0</v>
      </c>
      <c r="D952">
        <v>3.0</v>
      </c>
      <c r="E952" t="str">
        <f t="shared" si="1"/>
        <v>4.8</v>
      </c>
      <c r="F952">
        <v>2.0</v>
      </c>
      <c r="G952">
        <v>1.0</v>
      </c>
      <c r="H952" t="str">
        <f t="shared" si="2"/>
        <v>2</v>
      </c>
      <c r="I952">
        <v>96.0</v>
      </c>
      <c r="J952" t="str">
        <f t="shared" si="3"/>
        <v>304.8</v>
      </c>
      <c r="K952" t="str">
        <f t="shared" si="4"/>
        <v>710.184</v>
      </c>
      <c r="L952" t="str">
        <f t="shared" si="5"/>
        <v>35.5092</v>
      </c>
      <c r="M952" t="str">
        <f t="shared" si="6"/>
        <v>233</v>
      </c>
      <c r="N952" t="s">
        <v>182</v>
      </c>
      <c r="O952" t="s">
        <v>1786</v>
      </c>
      <c r="P952" t="s">
        <v>1787</v>
      </c>
    </row>
    <row r="953" ht="15.75" customHeight="1">
      <c r="A953">
        <v>955.0</v>
      </c>
      <c r="B953">
        <v>130.0</v>
      </c>
      <c r="C953">
        <v>75.0</v>
      </c>
      <c r="D953">
        <v>4.0</v>
      </c>
      <c r="E953" t="str">
        <f t="shared" si="1"/>
        <v>2.7875</v>
      </c>
      <c r="F953">
        <v>2.0</v>
      </c>
      <c r="G953">
        <v>4.0</v>
      </c>
      <c r="H953" t="str">
        <f t="shared" si="2"/>
        <v>8</v>
      </c>
      <c r="I953">
        <v>98.0</v>
      </c>
      <c r="J953" t="str">
        <f t="shared" si="3"/>
        <v>311.15</v>
      </c>
      <c r="K953" t="str">
        <f t="shared" si="4"/>
        <v>886.7775</v>
      </c>
      <c r="L953" t="str">
        <f t="shared" si="5"/>
        <v>11.08471875</v>
      </c>
      <c r="M953" t="str">
        <f t="shared" si="6"/>
        <v>285</v>
      </c>
      <c r="N953" t="s">
        <v>182</v>
      </c>
      <c r="O953" t="s">
        <v>1788</v>
      </c>
      <c r="P953" t="s">
        <v>1789</v>
      </c>
    </row>
    <row r="954" ht="15.75" customHeight="1">
      <c r="A954">
        <v>956.0</v>
      </c>
      <c r="B954">
        <v>228.0</v>
      </c>
      <c r="C954">
        <v>414.0</v>
      </c>
      <c r="D954">
        <v>3.0</v>
      </c>
      <c r="E954" t="str">
        <f t="shared" si="1"/>
        <v>14.625</v>
      </c>
      <c r="F954">
        <v>1.0</v>
      </c>
      <c r="G954">
        <v>1.0</v>
      </c>
      <c r="H954" t="str">
        <f t="shared" si="2"/>
        <v>1</v>
      </c>
      <c r="I954">
        <v>135.0</v>
      </c>
      <c r="J954" t="str">
        <f t="shared" si="3"/>
        <v>428.625</v>
      </c>
      <c r="K954" t="str">
        <f t="shared" si="4"/>
        <v>1062.99</v>
      </c>
      <c r="L954" t="str">
        <f t="shared" si="5"/>
        <v>106.299</v>
      </c>
      <c r="M954" t="str">
        <f t="shared" si="6"/>
        <v>248</v>
      </c>
      <c r="N954" t="s">
        <v>187</v>
      </c>
      <c r="O954" t="s">
        <v>1790</v>
      </c>
      <c r="P954" t="s">
        <v>1791</v>
      </c>
    </row>
    <row r="955" ht="15.75" customHeight="1">
      <c r="A955">
        <v>957.0</v>
      </c>
      <c r="B955">
        <v>371.264</v>
      </c>
      <c r="C955">
        <v>192.277</v>
      </c>
      <c r="D955">
        <v>3.0</v>
      </c>
      <c r="E955" t="str">
        <f t="shared" si="1"/>
        <v>7.748</v>
      </c>
      <c r="F955">
        <v>1.0</v>
      </c>
      <c r="G955">
        <v>2.0</v>
      </c>
      <c r="H955" t="str">
        <f t="shared" si="2"/>
        <v>2</v>
      </c>
      <c r="I955">
        <v>126.0</v>
      </c>
      <c r="J955" t="str">
        <f t="shared" si="3"/>
        <v>400.05</v>
      </c>
      <c r="K955" t="str">
        <f t="shared" si="4"/>
        <v>1565.251632</v>
      </c>
      <c r="L955" t="str">
        <f t="shared" si="5"/>
        <v>78.2625816</v>
      </c>
      <c r="M955" t="str">
        <f t="shared" si="6"/>
        <v>391.264</v>
      </c>
      <c r="N955" t="s">
        <v>187</v>
      </c>
      <c r="O955" t="s">
        <v>1792</v>
      </c>
      <c r="P955" t="s">
        <v>1791</v>
      </c>
    </row>
    <row r="956" ht="15.75" customHeight="1">
      <c r="A956">
        <v>958.0</v>
      </c>
      <c r="B956">
        <v>124.0</v>
      </c>
      <c r="C956">
        <v>115.0</v>
      </c>
      <c r="D956">
        <v>3.0</v>
      </c>
      <c r="E956" t="str">
        <f t="shared" si="1"/>
        <v>2.475</v>
      </c>
      <c r="F956">
        <v>2.0</v>
      </c>
      <c r="G956">
        <v>4.0</v>
      </c>
      <c r="H956" t="str">
        <f t="shared" si="2"/>
        <v>8</v>
      </c>
      <c r="I956">
        <v>148.0</v>
      </c>
      <c r="J956" t="str">
        <f t="shared" si="3"/>
        <v>469.9</v>
      </c>
      <c r="K956" t="str">
        <f t="shared" si="4"/>
        <v>1273.429</v>
      </c>
      <c r="L956" t="str">
        <f t="shared" si="5"/>
        <v>15.9178625</v>
      </c>
      <c r="M956" t="str">
        <f t="shared" si="6"/>
        <v>271</v>
      </c>
      <c r="N956" t="s">
        <v>187</v>
      </c>
      <c r="O956" t="s">
        <v>1793</v>
      </c>
      <c r="P956" t="s">
        <v>1794</v>
      </c>
    </row>
    <row r="957" ht="15.75" customHeight="1">
      <c r="A957">
        <v>959.0</v>
      </c>
      <c r="B957">
        <v>98.0</v>
      </c>
      <c r="C957">
        <v>70.0</v>
      </c>
      <c r="D957">
        <v>3.0</v>
      </c>
      <c r="E957" t="str">
        <f t="shared" si="1"/>
        <v>4.839285714</v>
      </c>
      <c r="F957">
        <v>4.0</v>
      </c>
      <c r="G957">
        <v>7.0</v>
      </c>
      <c r="H957" t="str">
        <f t="shared" si="2"/>
        <v>28</v>
      </c>
      <c r="I957">
        <v>165.0</v>
      </c>
      <c r="J957" t="str">
        <f t="shared" si="3"/>
        <v>523.875</v>
      </c>
      <c r="K957" t="str">
        <f t="shared" si="4"/>
        <v>2205.51375</v>
      </c>
      <c r="L957" t="str">
        <f t="shared" si="5"/>
        <v>7.876834821</v>
      </c>
      <c r="M957" t="str">
        <f t="shared" si="6"/>
        <v>421</v>
      </c>
      <c r="N957" t="s">
        <v>182</v>
      </c>
      <c r="O957" t="s">
        <v>1795</v>
      </c>
      <c r="P957" t="s">
        <v>1796</v>
      </c>
    </row>
    <row r="958" ht="15.75" customHeight="1">
      <c r="A958">
        <v>960.0</v>
      </c>
      <c r="B958">
        <v>88.0</v>
      </c>
      <c r="C958">
        <v>76.0</v>
      </c>
      <c r="D958">
        <v>3.0</v>
      </c>
      <c r="E958" t="str">
        <f t="shared" si="1"/>
        <v>4.01</v>
      </c>
      <c r="F958">
        <v>3.0</v>
      </c>
      <c r="G958">
        <v>5.0</v>
      </c>
      <c r="H958" t="str">
        <f t="shared" si="2"/>
        <v>15</v>
      </c>
      <c r="I958">
        <v>126.0</v>
      </c>
      <c r="J958" t="str">
        <f t="shared" si="3"/>
        <v>400.05</v>
      </c>
      <c r="K958" t="str">
        <f t="shared" si="4"/>
        <v>1160.145</v>
      </c>
      <c r="L958" t="str">
        <f t="shared" si="5"/>
        <v>7.7343</v>
      </c>
      <c r="M958" t="str">
        <f t="shared" si="6"/>
        <v>290</v>
      </c>
      <c r="N958" t="s">
        <v>182</v>
      </c>
      <c r="O958" t="s">
        <v>1797</v>
      </c>
    </row>
    <row r="959" ht="15.75" customHeight="1">
      <c r="A959">
        <v>961.0</v>
      </c>
      <c r="B959">
        <v>65.0</v>
      </c>
      <c r="C959">
        <v>155.0</v>
      </c>
      <c r="D959">
        <v>3.0</v>
      </c>
      <c r="E959" t="str">
        <f t="shared" si="1"/>
        <v>6.925</v>
      </c>
      <c r="F959">
        <v>4.0</v>
      </c>
      <c r="G959">
        <v>2.0</v>
      </c>
      <c r="H959" t="str">
        <f t="shared" si="2"/>
        <v>8</v>
      </c>
      <c r="I959">
        <v>102.0</v>
      </c>
      <c r="J959" t="str">
        <f t="shared" si="3"/>
        <v>323.85</v>
      </c>
      <c r="K959" t="str">
        <f t="shared" si="4"/>
        <v>935.9265</v>
      </c>
      <c r="L959" t="str">
        <f t="shared" si="5"/>
        <v>11.69908125</v>
      </c>
      <c r="M959" t="str">
        <f t="shared" si="6"/>
        <v>289</v>
      </c>
      <c r="N959" t="s">
        <v>182</v>
      </c>
      <c r="O959" t="s">
        <v>1798</v>
      </c>
      <c r="P959" t="s">
        <v>1799</v>
      </c>
    </row>
    <row r="960" ht="15.75" customHeight="1">
      <c r="A960">
        <v>962.0</v>
      </c>
      <c r="B960">
        <v>99.0</v>
      </c>
      <c r="C960">
        <v>70.0</v>
      </c>
      <c r="D960">
        <v>3.0</v>
      </c>
      <c r="E960" t="str">
        <f t="shared" si="1"/>
        <v>6.2</v>
      </c>
      <c r="F960">
        <v>3.0</v>
      </c>
      <c r="G960">
        <v>4.0</v>
      </c>
      <c r="H960" t="str">
        <f t="shared" si="2"/>
        <v>12</v>
      </c>
      <c r="I960">
        <v>96.0</v>
      </c>
      <c r="J960" t="str">
        <f t="shared" si="3"/>
        <v>304.8</v>
      </c>
      <c r="K960" t="str">
        <f t="shared" si="4"/>
        <v>984.504</v>
      </c>
      <c r="L960" t="str">
        <f t="shared" si="5"/>
        <v>8.2042</v>
      </c>
      <c r="M960" t="str">
        <f t="shared" si="6"/>
        <v>323</v>
      </c>
      <c r="N960" t="s">
        <v>187</v>
      </c>
      <c r="O960" t="s">
        <v>1800</v>
      </c>
      <c r="P960" t="s">
        <v>1801</v>
      </c>
    </row>
    <row r="961" ht="15.75" customHeight="1">
      <c r="A961">
        <v>963.0</v>
      </c>
      <c r="B961">
        <v>60.0</v>
      </c>
      <c r="C961">
        <v>92.0</v>
      </c>
      <c r="D961">
        <v>3.0</v>
      </c>
      <c r="E961" t="str">
        <f t="shared" si="1"/>
        <v>3.25</v>
      </c>
      <c r="F961">
        <v>5.0</v>
      </c>
      <c r="G961">
        <v>3.0</v>
      </c>
      <c r="H961" t="str">
        <f t="shared" si="2"/>
        <v>15</v>
      </c>
      <c r="I961">
        <v>90.0</v>
      </c>
      <c r="J961" t="str">
        <f t="shared" si="3"/>
        <v>285.75</v>
      </c>
      <c r="K961" t="str">
        <f t="shared" si="4"/>
        <v>948.69</v>
      </c>
      <c r="L961" t="str">
        <f t="shared" si="5"/>
        <v>6.3246</v>
      </c>
      <c r="M961" t="str">
        <f t="shared" si="6"/>
        <v>332</v>
      </c>
      <c r="N961" t="s">
        <v>187</v>
      </c>
      <c r="O961" t="s">
        <v>1802</v>
      </c>
      <c r="P961" t="s">
        <v>1803</v>
      </c>
    </row>
    <row r="962" ht="15.75" customHeight="1">
      <c r="A962">
        <v>964.0</v>
      </c>
      <c r="B962">
        <v>43.5</v>
      </c>
      <c r="C962">
        <v>92.0</v>
      </c>
      <c r="D962">
        <v>3.0</v>
      </c>
      <c r="E962" t="str">
        <f t="shared" si="1"/>
        <v>3.25</v>
      </c>
      <c r="F962">
        <v>7.0</v>
      </c>
      <c r="G962">
        <v>4.0</v>
      </c>
      <c r="H962" t="str">
        <f t="shared" si="2"/>
        <v>28</v>
      </c>
      <c r="I962">
        <v>120.0</v>
      </c>
      <c r="J962" t="str">
        <f t="shared" si="3"/>
        <v>381</v>
      </c>
      <c r="K962" t="str">
        <f t="shared" si="4"/>
        <v>1304.925</v>
      </c>
      <c r="L962" t="str">
        <f t="shared" si="5"/>
        <v>4.660446429</v>
      </c>
      <c r="M962" t="str">
        <f t="shared" si="6"/>
        <v>342.5</v>
      </c>
      <c r="N962" t="s">
        <v>182</v>
      </c>
      <c r="O962" t="s">
        <v>1804</v>
      </c>
      <c r="P962" t="s">
        <v>1805</v>
      </c>
    </row>
    <row r="963" ht="15.75" customHeight="1">
      <c r="A963">
        <v>965.0</v>
      </c>
      <c r="B963">
        <v>177.0</v>
      </c>
      <c r="C963">
        <v>63.5</v>
      </c>
      <c r="D963">
        <v>3.0</v>
      </c>
      <c r="E963" t="str">
        <f t="shared" si="1"/>
        <v>3.175</v>
      </c>
      <c r="F963">
        <v>2.0</v>
      </c>
      <c r="G963">
        <v>5.0</v>
      </c>
      <c r="H963" t="str">
        <f t="shared" si="2"/>
        <v>10</v>
      </c>
      <c r="I963">
        <v>105.0</v>
      </c>
      <c r="J963" t="str">
        <f t="shared" si="3"/>
        <v>333.375</v>
      </c>
      <c r="K963" t="str">
        <f t="shared" si="4"/>
        <v>1256.82375</v>
      </c>
      <c r="L963" t="str">
        <f t="shared" si="5"/>
        <v>12.5682375</v>
      </c>
      <c r="M963" t="str">
        <f t="shared" si="6"/>
        <v>377</v>
      </c>
      <c r="N963" t="s">
        <v>187</v>
      </c>
      <c r="O963" t="s">
        <v>1806</v>
      </c>
      <c r="P963" t="s">
        <v>1807</v>
      </c>
    </row>
    <row r="964" ht="15.75" customHeight="1">
      <c r="A964">
        <v>966.0</v>
      </c>
      <c r="B964">
        <v>55.0</v>
      </c>
      <c r="C964">
        <v>425.0</v>
      </c>
      <c r="D964">
        <v>3.0</v>
      </c>
      <c r="E964" t="str">
        <f t="shared" si="1"/>
        <v>3.625</v>
      </c>
      <c r="F964">
        <v>4.0</v>
      </c>
      <c r="G964">
        <v>1.0</v>
      </c>
      <c r="H964" t="str">
        <f t="shared" si="2"/>
        <v>4</v>
      </c>
      <c r="I964">
        <v>135.0</v>
      </c>
      <c r="J964" t="str">
        <f t="shared" si="3"/>
        <v>428.625</v>
      </c>
      <c r="K964" t="str">
        <f t="shared" si="4"/>
        <v>1067.27625</v>
      </c>
      <c r="L964" t="str">
        <f t="shared" si="5"/>
        <v>26.68190625</v>
      </c>
      <c r="M964" t="str">
        <f t="shared" si="6"/>
        <v>249</v>
      </c>
      <c r="N964" t="s">
        <v>187</v>
      </c>
      <c r="O964" t="s">
        <v>1808</v>
      </c>
      <c r="P964" t="s">
        <v>1809</v>
      </c>
    </row>
    <row r="965" ht="15.75" customHeight="1">
      <c r="A965">
        <v>967.0</v>
      </c>
      <c r="B965">
        <v>150.0</v>
      </c>
      <c r="C965">
        <v>250.0</v>
      </c>
      <c r="D965">
        <v>3.0</v>
      </c>
      <c r="E965" t="str">
        <f t="shared" si="1"/>
        <v>16.7</v>
      </c>
      <c r="F965">
        <v>2.0</v>
      </c>
      <c r="G965">
        <v>1.0</v>
      </c>
      <c r="H965" t="str">
        <f t="shared" si="2"/>
        <v>2</v>
      </c>
      <c r="I965">
        <v>84.0</v>
      </c>
      <c r="J965" t="str">
        <f t="shared" si="3"/>
        <v>266.7</v>
      </c>
      <c r="K965" t="str">
        <f t="shared" si="4"/>
        <v>861.441</v>
      </c>
      <c r="L965" t="str">
        <f t="shared" si="5"/>
        <v>43.07205</v>
      </c>
      <c r="M965" t="str">
        <f t="shared" si="6"/>
        <v>323</v>
      </c>
      <c r="N965" t="s">
        <v>182</v>
      </c>
      <c r="O965" t="s">
        <v>1810</v>
      </c>
    </row>
    <row r="966" ht="15.75" customHeight="1">
      <c r="A966">
        <v>968.0</v>
      </c>
      <c r="B966">
        <v>70.0</v>
      </c>
      <c r="C966">
        <v>30.0</v>
      </c>
      <c r="D966">
        <v>3.0</v>
      </c>
      <c r="E966" t="str">
        <f t="shared" si="1"/>
        <v>3.3375</v>
      </c>
      <c r="F966">
        <v>4.0</v>
      </c>
      <c r="G966">
        <v>10.0</v>
      </c>
      <c r="H966" t="str">
        <f t="shared" si="2"/>
        <v>40</v>
      </c>
      <c r="I966">
        <v>105.0</v>
      </c>
      <c r="J966" t="str">
        <f t="shared" si="3"/>
        <v>333.375</v>
      </c>
      <c r="K966" t="str">
        <f t="shared" si="4"/>
        <v>1030.12875</v>
      </c>
      <c r="L966" t="str">
        <f t="shared" si="5"/>
        <v>2.575321875</v>
      </c>
      <c r="M966" t="str">
        <f t="shared" si="6"/>
        <v>309</v>
      </c>
      <c r="N966" t="s">
        <v>182</v>
      </c>
      <c r="O966" t="s">
        <v>1811</v>
      </c>
      <c r="P966" t="s">
        <v>1812</v>
      </c>
    </row>
    <row r="967" ht="15.75" customHeight="1">
      <c r="A967">
        <v>969.0</v>
      </c>
      <c r="B967">
        <v>85.0</v>
      </c>
      <c r="C967">
        <v>38.0</v>
      </c>
      <c r="D967">
        <v>3.0</v>
      </c>
      <c r="E967" t="str">
        <f t="shared" si="1"/>
        <v>3.671875</v>
      </c>
      <c r="F967">
        <v>4.0</v>
      </c>
      <c r="G967">
        <v>8.0</v>
      </c>
      <c r="H967" t="str">
        <f t="shared" si="2"/>
        <v>32</v>
      </c>
      <c r="I967">
        <v>105.0</v>
      </c>
      <c r="J967" t="str">
        <f t="shared" si="3"/>
        <v>333.375</v>
      </c>
      <c r="K967" t="str">
        <f t="shared" si="4"/>
        <v>1230.15375</v>
      </c>
      <c r="L967" t="str">
        <f t="shared" si="5"/>
        <v>3.844230469</v>
      </c>
      <c r="M967" t="str">
        <f t="shared" si="6"/>
        <v>369</v>
      </c>
      <c r="N967" t="s">
        <v>182</v>
      </c>
      <c r="O967" t="s">
        <v>1813</v>
      </c>
      <c r="P967" t="s">
        <v>1812</v>
      </c>
    </row>
    <row r="968" ht="15.75" customHeight="1">
      <c r="A968">
        <v>970.0</v>
      </c>
      <c r="B968">
        <v>18.0</v>
      </c>
      <c r="C968">
        <v>48.0</v>
      </c>
      <c r="D968">
        <v>3.0</v>
      </c>
      <c r="E968" t="str">
        <f t="shared" si="1"/>
        <v>2.8</v>
      </c>
      <c r="F968">
        <v>13.0</v>
      </c>
      <c r="G968">
        <v>6.0</v>
      </c>
      <c r="H968" t="str">
        <f t="shared" si="2"/>
        <v>78</v>
      </c>
      <c r="I968">
        <v>96.0</v>
      </c>
      <c r="J968" t="str">
        <f t="shared" si="3"/>
        <v>304.8</v>
      </c>
      <c r="K968" t="str">
        <f t="shared" si="4"/>
        <v>883.92</v>
      </c>
      <c r="L968" t="str">
        <f t="shared" si="5"/>
        <v>1.133230769</v>
      </c>
      <c r="M968" t="str">
        <f t="shared" si="6"/>
        <v>290</v>
      </c>
      <c r="N968" t="s">
        <v>182</v>
      </c>
      <c r="O968" t="s">
        <v>1814</v>
      </c>
    </row>
    <row r="969" ht="15.75" customHeight="1">
      <c r="A969">
        <v>971.0</v>
      </c>
      <c r="B969">
        <v>141.0</v>
      </c>
      <c r="C969">
        <v>62.0</v>
      </c>
      <c r="D969">
        <v>3.0</v>
      </c>
      <c r="E969" t="str">
        <f t="shared" si="1"/>
        <v>2.77</v>
      </c>
      <c r="F969">
        <v>2.0</v>
      </c>
      <c r="G969">
        <v>5.0</v>
      </c>
      <c r="H969" t="str">
        <f t="shared" si="2"/>
        <v>10</v>
      </c>
      <c r="I969">
        <v>102.0</v>
      </c>
      <c r="J969" t="str">
        <f t="shared" si="3"/>
        <v>323.85</v>
      </c>
      <c r="K969" t="str">
        <f t="shared" si="4"/>
        <v>987.7425</v>
      </c>
      <c r="L969" t="str">
        <f t="shared" si="5"/>
        <v>9.877425</v>
      </c>
      <c r="M969" t="str">
        <f t="shared" si="6"/>
        <v>305</v>
      </c>
      <c r="N969" t="s">
        <v>182</v>
      </c>
      <c r="O969" t="s">
        <v>1815</v>
      </c>
      <c r="P969" t="s">
        <v>1816</v>
      </c>
    </row>
    <row r="970" ht="15.75" customHeight="1">
      <c r="A970">
        <v>972.0</v>
      </c>
      <c r="B970">
        <v>130.0</v>
      </c>
      <c r="C970">
        <v>170.0</v>
      </c>
      <c r="D970">
        <v>3.0</v>
      </c>
      <c r="E970" t="str">
        <f t="shared" si="1"/>
        <v>4.625</v>
      </c>
      <c r="F970">
        <v>2.0</v>
      </c>
      <c r="G970">
        <v>2.0</v>
      </c>
      <c r="H970" t="str">
        <f t="shared" si="2"/>
        <v>4</v>
      </c>
      <c r="I970">
        <v>110.0</v>
      </c>
      <c r="J970" t="str">
        <f t="shared" si="3"/>
        <v>349.25</v>
      </c>
      <c r="K970" t="str">
        <f t="shared" si="4"/>
        <v>988.3775</v>
      </c>
      <c r="L970" t="str">
        <f t="shared" si="5"/>
        <v>24.7094375</v>
      </c>
      <c r="M970" t="str">
        <f t="shared" si="6"/>
        <v>283</v>
      </c>
      <c r="N970" t="s">
        <v>182</v>
      </c>
      <c r="O970" t="s">
        <v>1817</v>
      </c>
    </row>
    <row r="971" ht="15.75" customHeight="1">
      <c r="A971">
        <v>973.0</v>
      </c>
      <c r="B971">
        <v>157.0</v>
      </c>
      <c r="C971">
        <v>125.0</v>
      </c>
      <c r="D971">
        <v>3.0</v>
      </c>
      <c r="E971" t="str">
        <f t="shared" si="1"/>
        <v>5.96875</v>
      </c>
      <c r="F971">
        <v>2.0</v>
      </c>
      <c r="G971">
        <v>4.0</v>
      </c>
      <c r="H971" t="str">
        <f t="shared" si="2"/>
        <v>8</v>
      </c>
      <c r="I971">
        <v>165.0</v>
      </c>
      <c r="J971" t="str">
        <f t="shared" si="3"/>
        <v>523.875</v>
      </c>
      <c r="K971" t="str">
        <f t="shared" si="4"/>
        <v>1765.45875</v>
      </c>
      <c r="L971" t="str">
        <f t="shared" si="5"/>
        <v>22.06823438</v>
      </c>
      <c r="M971" t="str">
        <f t="shared" si="6"/>
        <v>337</v>
      </c>
      <c r="N971" t="s">
        <v>182</v>
      </c>
      <c r="O971" t="s">
        <v>1818</v>
      </c>
    </row>
    <row r="972" ht="15.75" customHeight="1">
      <c r="A972">
        <v>974.0</v>
      </c>
      <c r="B972">
        <v>107.0</v>
      </c>
      <c r="C972">
        <v>95.0</v>
      </c>
      <c r="D972">
        <v>3.0</v>
      </c>
      <c r="E972" t="str">
        <f t="shared" si="1"/>
        <v>5.0125</v>
      </c>
      <c r="F972">
        <v>2.0</v>
      </c>
      <c r="G972">
        <v>4.0</v>
      </c>
      <c r="H972" t="str">
        <f t="shared" si="2"/>
        <v>8</v>
      </c>
      <c r="I972">
        <v>126.0</v>
      </c>
      <c r="J972" t="str">
        <f t="shared" si="3"/>
        <v>400.05</v>
      </c>
      <c r="K972" t="str">
        <f t="shared" si="4"/>
        <v>948.1185</v>
      </c>
      <c r="L972" t="str">
        <f t="shared" si="5"/>
        <v>11.85148125</v>
      </c>
      <c r="M972" t="str">
        <f t="shared" si="6"/>
        <v>237</v>
      </c>
      <c r="N972" t="s">
        <v>182</v>
      </c>
      <c r="O972" t="s">
        <v>1819</v>
      </c>
    </row>
    <row r="973" ht="15.75" customHeight="1">
      <c r="A973">
        <v>975.0</v>
      </c>
      <c r="B973">
        <v>65.0</v>
      </c>
      <c r="C973">
        <v>55.0</v>
      </c>
      <c r="D973">
        <v>3.0</v>
      </c>
      <c r="E973" t="str">
        <f t="shared" si="1"/>
        <v>3.208333333</v>
      </c>
      <c r="F973">
        <v>4.0</v>
      </c>
      <c r="G973">
        <v>6.0</v>
      </c>
      <c r="H973" t="str">
        <f t="shared" si="2"/>
        <v>24</v>
      </c>
      <c r="I973">
        <v>110.0</v>
      </c>
      <c r="J973" t="str">
        <f t="shared" si="3"/>
        <v>349.25</v>
      </c>
      <c r="K973" t="str">
        <f t="shared" si="4"/>
        <v>1009.3325</v>
      </c>
      <c r="L973" t="str">
        <f t="shared" si="5"/>
        <v>4.205552083</v>
      </c>
      <c r="M973" t="str">
        <f t="shared" si="6"/>
        <v>289</v>
      </c>
      <c r="N973" t="s">
        <v>182</v>
      </c>
      <c r="O973" t="s">
        <v>1820</v>
      </c>
    </row>
    <row r="974" ht="15.75" customHeight="1">
      <c r="A974">
        <v>976.0</v>
      </c>
      <c r="B974">
        <v>130.0</v>
      </c>
      <c r="C974">
        <v>100.0</v>
      </c>
      <c r="D974">
        <v>3.0</v>
      </c>
      <c r="E974" t="str">
        <f t="shared" si="1"/>
        <v>3.716666667</v>
      </c>
      <c r="F974">
        <v>2.0</v>
      </c>
      <c r="G974">
        <v>3.0</v>
      </c>
      <c r="H974" t="str">
        <f t="shared" si="2"/>
        <v>6</v>
      </c>
      <c r="I974">
        <v>98.0</v>
      </c>
      <c r="J974" t="str">
        <f t="shared" si="3"/>
        <v>311.15</v>
      </c>
      <c r="K974" t="str">
        <f t="shared" si="4"/>
        <v>880.5545</v>
      </c>
      <c r="L974" t="str">
        <f t="shared" si="5"/>
        <v>14.67590833</v>
      </c>
      <c r="M974" t="str">
        <f t="shared" si="6"/>
        <v>283</v>
      </c>
      <c r="N974" t="s">
        <v>182</v>
      </c>
      <c r="O974" t="s">
        <v>1821</v>
      </c>
    </row>
    <row r="975" ht="15.75" customHeight="1">
      <c r="A975">
        <v>977.0</v>
      </c>
      <c r="B975">
        <v>64.0</v>
      </c>
      <c r="C975">
        <v>60.0</v>
      </c>
      <c r="D975">
        <v>3.0</v>
      </c>
      <c r="E975" t="str">
        <f t="shared" si="1"/>
        <v>3.5</v>
      </c>
      <c r="F975">
        <v>3.0</v>
      </c>
      <c r="G975">
        <v>6.0</v>
      </c>
      <c r="H975" t="str">
        <f t="shared" si="2"/>
        <v>18</v>
      </c>
      <c r="I975">
        <v>120.0</v>
      </c>
      <c r="J975" t="str">
        <f t="shared" si="3"/>
        <v>381</v>
      </c>
      <c r="K975" t="str">
        <f t="shared" si="4"/>
        <v>830.58</v>
      </c>
      <c r="L975" t="str">
        <f t="shared" si="5"/>
        <v>4.614333333</v>
      </c>
      <c r="M975" t="str">
        <f t="shared" si="6"/>
        <v>218</v>
      </c>
      <c r="N975" t="s">
        <v>1822</v>
      </c>
      <c r="O975" t="s">
        <v>1823</v>
      </c>
      <c r="P975" t="s">
        <v>1824</v>
      </c>
    </row>
    <row r="976" ht="15.75" customHeight="1">
      <c r="A976">
        <v>978.0</v>
      </c>
      <c r="B976">
        <v>110.0</v>
      </c>
      <c r="C976">
        <v>75.0</v>
      </c>
      <c r="D976">
        <v>3.0</v>
      </c>
      <c r="E976" t="str">
        <f t="shared" si="1"/>
        <v>2.7875</v>
      </c>
      <c r="F976">
        <v>2.0</v>
      </c>
      <c r="G976">
        <v>4.0</v>
      </c>
      <c r="H976" t="str">
        <f t="shared" si="2"/>
        <v>8</v>
      </c>
      <c r="I976">
        <v>98.0</v>
      </c>
      <c r="J976" t="str">
        <f t="shared" si="3"/>
        <v>311.15</v>
      </c>
      <c r="K976" t="str">
        <f t="shared" si="4"/>
        <v>756.0945</v>
      </c>
      <c r="L976" t="str">
        <f t="shared" si="5"/>
        <v>9.45118125</v>
      </c>
      <c r="M976" t="str">
        <f t="shared" si="6"/>
        <v>243</v>
      </c>
      <c r="N976" t="s">
        <v>1822</v>
      </c>
      <c r="O976" t="s">
        <v>1825</v>
      </c>
      <c r="P976" s="126" t="s">
        <v>1826</v>
      </c>
    </row>
    <row r="977" ht="15.75" customHeight="1">
      <c r="A977">
        <v>979.0</v>
      </c>
      <c r="B977">
        <v>65.0</v>
      </c>
      <c r="C977">
        <v>205.0</v>
      </c>
      <c r="D977">
        <v>3.0</v>
      </c>
      <c r="E977" t="str">
        <f t="shared" si="1"/>
        <v>9.3125</v>
      </c>
      <c r="F977">
        <v>5.0</v>
      </c>
      <c r="G977">
        <v>2.0</v>
      </c>
      <c r="H977" t="str">
        <f t="shared" si="2"/>
        <v>10</v>
      </c>
      <c r="I977">
        <v>135.0</v>
      </c>
      <c r="J977" t="str">
        <f t="shared" si="3"/>
        <v>428.625</v>
      </c>
      <c r="K977" t="str">
        <f t="shared" si="4"/>
        <v>1530.19125</v>
      </c>
      <c r="L977" t="str">
        <f t="shared" si="5"/>
        <v>15.3019125</v>
      </c>
      <c r="M977" t="str">
        <f t="shared" si="6"/>
        <v>357</v>
      </c>
      <c r="N977" t="s">
        <v>182</v>
      </c>
      <c r="O977" t="s">
        <v>1827</v>
      </c>
    </row>
    <row r="978" ht="15.75" customHeight="1">
      <c r="A978">
        <v>980.0</v>
      </c>
      <c r="B978">
        <v>133.0</v>
      </c>
      <c r="C978">
        <v>94.5</v>
      </c>
      <c r="D978">
        <v>4.0</v>
      </c>
      <c r="E978" t="str">
        <f t="shared" si="1"/>
        <v>5.5125</v>
      </c>
      <c r="F978">
        <v>2.0</v>
      </c>
      <c r="G978">
        <v>4.0</v>
      </c>
      <c r="H978" t="str">
        <f t="shared" si="2"/>
        <v>8</v>
      </c>
      <c r="I978">
        <v>126.0</v>
      </c>
      <c r="J978" t="str">
        <f t="shared" si="3"/>
        <v>400.05</v>
      </c>
      <c r="K978" t="str">
        <f t="shared" si="4"/>
        <v>1164.1455</v>
      </c>
      <c r="L978" t="str">
        <f t="shared" si="5"/>
        <v>14.55181875</v>
      </c>
      <c r="M978" t="str">
        <f t="shared" si="6"/>
        <v>291</v>
      </c>
      <c r="N978" t="s">
        <v>187</v>
      </c>
      <c r="O978" t="s">
        <v>1828</v>
      </c>
      <c r="P978" t="s">
        <v>1829</v>
      </c>
    </row>
    <row r="979" ht="15.75" customHeight="1">
      <c r="A979">
        <v>981.0</v>
      </c>
      <c r="B979">
        <v>180.0</v>
      </c>
      <c r="C979">
        <v>154.75</v>
      </c>
      <c r="D979">
        <v>4.0</v>
      </c>
      <c r="E979" t="str">
        <f t="shared" si="1"/>
        <v>7.175</v>
      </c>
      <c r="F979">
        <v>2.0</v>
      </c>
      <c r="G979">
        <v>2.0</v>
      </c>
      <c r="H979" t="str">
        <f t="shared" si="2"/>
        <v>4</v>
      </c>
      <c r="I979">
        <v>102.0</v>
      </c>
      <c r="J979" t="str">
        <f t="shared" si="3"/>
        <v>323.85</v>
      </c>
      <c r="K979" t="str">
        <f t="shared" si="4"/>
        <v>1246.8225</v>
      </c>
      <c r="L979" t="str">
        <f t="shared" si="5"/>
        <v>31.1705625</v>
      </c>
      <c r="M979" t="str">
        <f t="shared" si="6"/>
        <v>385</v>
      </c>
      <c r="N979" t="s">
        <v>187</v>
      </c>
      <c r="O979" t="s">
        <v>1830</v>
      </c>
      <c r="P979" t="s">
        <v>1831</v>
      </c>
    </row>
    <row r="980" ht="15.75" customHeight="1">
      <c r="A980">
        <v>982.0</v>
      </c>
      <c r="B980">
        <v>194.5</v>
      </c>
      <c r="C980">
        <v>167.3</v>
      </c>
      <c r="D980">
        <v>4.0</v>
      </c>
      <c r="E980" t="str">
        <f t="shared" si="1"/>
        <v>4.15</v>
      </c>
      <c r="F980">
        <v>2.0</v>
      </c>
      <c r="G980">
        <v>2.0</v>
      </c>
      <c r="H980" t="str">
        <f t="shared" si="2"/>
        <v>4</v>
      </c>
      <c r="I980">
        <v>108.0</v>
      </c>
      <c r="J980" t="str">
        <f t="shared" si="3"/>
        <v>342.9</v>
      </c>
      <c r="K980" t="str">
        <f t="shared" si="4"/>
        <v>1419.606</v>
      </c>
      <c r="L980" t="str">
        <f t="shared" si="5"/>
        <v>35.49015</v>
      </c>
      <c r="M980" t="str">
        <f t="shared" si="6"/>
        <v>414</v>
      </c>
      <c r="N980" t="s">
        <v>187</v>
      </c>
      <c r="O980" t="s">
        <v>1832</v>
      </c>
      <c r="P980" t="s">
        <v>1833</v>
      </c>
    </row>
    <row r="981" ht="15.75" customHeight="1">
      <c r="A981">
        <v>983.0</v>
      </c>
      <c r="B981">
        <v>68.0</v>
      </c>
      <c r="C981">
        <v>27.0</v>
      </c>
      <c r="D981">
        <v>3.0</v>
      </c>
      <c r="E981" t="str">
        <f t="shared" si="1"/>
        <v>3.338888889</v>
      </c>
      <c r="F981">
        <v>4.0</v>
      </c>
      <c r="G981">
        <v>9.0</v>
      </c>
      <c r="H981" t="str">
        <f t="shared" si="2"/>
        <v>36</v>
      </c>
      <c r="I981">
        <v>86.0</v>
      </c>
      <c r="J981" t="str">
        <f t="shared" si="3"/>
        <v>273.05</v>
      </c>
      <c r="K981" t="str">
        <f t="shared" si="4"/>
        <v>821.8805</v>
      </c>
      <c r="L981" t="str">
        <f t="shared" si="5"/>
        <v>2.283001389</v>
      </c>
      <c r="M981" t="str">
        <f t="shared" si="6"/>
        <v>301</v>
      </c>
      <c r="N981" t="s">
        <v>187</v>
      </c>
      <c r="O981" t="s">
        <v>1834</v>
      </c>
      <c r="P981" t="s">
        <v>1835</v>
      </c>
    </row>
    <row r="982" ht="15.75" customHeight="1">
      <c r="A982">
        <v>984.0</v>
      </c>
      <c r="B982">
        <v>35.0</v>
      </c>
      <c r="C982">
        <v>92.0</v>
      </c>
      <c r="D982">
        <v>3.0</v>
      </c>
      <c r="E982" t="str">
        <f t="shared" si="1"/>
        <v>9.6</v>
      </c>
      <c r="F982">
        <v>8.0</v>
      </c>
      <c r="G982">
        <v>3.0</v>
      </c>
      <c r="H982" t="str">
        <f t="shared" si="2"/>
        <v>24</v>
      </c>
      <c r="I982">
        <v>96.0</v>
      </c>
      <c r="J982" t="str">
        <f t="shared" si="3"/>
        <v>304.8</v>
      </c>
      <c r="K982" t="str">
        <f t="shared" si="4"/>
        <v>978.408</v>
      </c>
      <c r="L982" t="str">
        <f t="shared" si="5"/>
        <v>4.0767</v>
      </c>
      <c r="M982" t="str">
        <f t="shared" si="6"/>
        <v>321</v>
      </c>
      <c r="N982" t="s">
        <v>182</v>
      </c>
      <c r="O982" t="s">
        <v>1836</v>
      </c>
    </row>
    <row r="983" ht="15.75" customHeight="1">
      <c r="A983">
        <v>985.0</v>
      </c>
      <c r="B983">
        <v>15.0</v>
      </c>
      <c r="C983">
        <v>35.0</v>
      </c>
      <c r="D983">
        <v>3.0</v>
      </c>
      <c r="E983" t="str">
        <f t="shared" si="1"/>
        <v>3.1</v>
      </c>
      <c r="F983">
        <v>12.0</v>
      </c>
      <c r="G983">
        <v>8.0</v>
      </c>
      <c r="H983" t="str">
        <f t="shared" si="2"/>
        <v>96</v>
      </c>
      <c r="I983">
        <v>96.0</v>
      </c>
      <c r="J983" t="str">
        <f t="shared" si="3"/>
        <v>304.8</v>
      </c>
      <c r="K983" t="str">
        <f t="shared" si="4"/>
        <v>710.184</v>
      </c>
      <c r="L983" t="str">
        <f t="shared" si="5"/>
        <v>0.739775</v>
      </c>
      <c r="M983" t="str">
        <f t="shared" si="6"/>
        <v>233</v>
      </c>
      <c r="N983" t="s">
        <v>187</v>
      </c>
      <c r="O983" t="s">
        <v>1837</v>
      </c>
      <c r="P983" t="s">
        <v>1838</v>
      </c>
    </row>
    <row r="984" ht="15.75" customHeight="1">
      <c r="A984">
        <v>986.0</v>
      </c>
      <c r="B984">
        <v>155.0</v>
      </c>
      <c r="C984">
        <v>50.0</v>
      </c>
      <c r="D984">
        <v>3.0</v>
      </c>
      <c r="E984" t="str">
        <f t="shared" si="1"/>
        <v>3.34</v>
      </c>
      <c r="F984">
        <v>2.0</v>
      </c>
      <c r="G984">
        <v>5.0</v>
      </c>
      <c r="H984" t="str">
        <f t="shared" si="2"/>
        <v>10</v>
      </c>
      <c r="I984">
        <v>84.0</v>
      </c>
      <c r="J984" t="str">
        <f t="shared" si="3"/>
        <v>266.7</v>
      </c>
      <c r="K984" t="str">
        <f t="shared" si="4"/>
        <v>888.111</v>
      </c>
      <c r="L984" t="str">
        <f t="shared" si="5"/>
        <v>8.88111</v>
      </c>
      <c r="M984" t="str">
        <f t="shared" si="6"/>
        <v>333</v>
      </c>
      <c r="N984" t="s">
        <v>182</v>
      </c>
      <c r="O984" t="s">
        <v>1839</v>
      </c>
    </row>
    <row r="985" ht="15.75" customHeight="1">
      <c r="A985">
        <v>987.0</v>
      </c>
      <c r="B985">
        <v>120.0</v>
      </c>
      <c r="C985">
        <v>45.0</v>
      </c>
      <c r="D985">
        <v>3.0</v>
      </c>
      <c r="E985" t="str">
        <f t="shared" si="1"/>
        <v>2.625</v>
      </c>
      <c r="F985">
        <v>2.0</v>
      </c>
      <c r="G985">
        <v>6.0</v>
      </c>
      <c r="H985" t="str">
        <f t="shared" si="2"/>
        <v>12</v>
      </c>
      <c r="I985">
        <v>90.0</v>
      </c>
      <c r="J985" t="str">
        <f t="shared" si="3"/>
        <v>285.75</v>
      </c>
      <c r="K985" t="str">
        <f t="shared" si="4"/>
        <v>751.5225</v>
      </c>
      <c r="L985" t="str">
        <f t="shared" si="5"/>
        <v>6.2626875</v>
      </c>
      <c r="M985" t="str">
        <f t="shared" si="6"/>
        <v>263</v>
      </c>
      <c r="N985" t="s">
        <v>182</v>
      </c>
      <c r="O985" t="s">
        <v>1840</v>
      </c>
    </row>
    <row r="986" ht="15.75" customHeight="1">
      <c r="A986">
        <v>988.0</v>
      </c>
      <c r="B986">
        <v>95.0</v>
      </c>
      <c r="C986">
        <v>147.0</v>
      </c>
      <c r="D986">
        <v>3.0</v>
      </c>
      <c r="E986" t="str">
        <f t="shared" si="1"/>
        <v>5.4</v>
      </c>
      <c r="F986">
        <v>3.0</v>
      </c>
      <c r="G986">
        <v>2.0</v>
      </c>
      <c r="H986" t="str">
        <f t="shared" si="2"/>
        <v>6</v>
      </c>
      <c r="I986">
        <v>96.0</v>
      </c>
      <c r="J986" t="str">
        <f t="shared" si="3"/>
        <v>304.8</v>
      </c>
      <c r="K986" t="str">
        <f t="shared" si="4"/>
        <v>947.928</v>
      </c>
      <c r="L986" t="str">
        <f t="shared" si="5"/>
        <v>15.7988</v>
      </c>
      <c r="M986" t="str">
        <f t="shared" si="6"/>
        <v>311</v>
      </c>
      <c r="N986" t="s">
        <v>182</v>
      </c>
      <c r="O986" t="s">
        <v>1841</v>
      </c>
      <c r="P986" s="126" t="s">
        <v>1842</v>
      </c>
    </row>
    <row r="987" ht="15.75" customHeight="1">
      <c r="A987">
        <v>989.0</v>
      </c>
      <c r="B987">
        <v>50.0</v>
      </c>
      <c r="C987">
        <v>90.0</v>
      </c>
      <c r="D987">
        <v>3.0</v>
      </c>
      <c r="E987" t="str">
        <f t="shared" si="1"/>
        <v>3.133333333</v>
      </c>
      <c r="F987">
        <v>5.0</v>
      </c>
      <c r="G987">
        <v>3.0</v>
      </c>
      <c r="H987" t="str">
        <f t="shared" si="2"/>
        <v>15</v>
      </c>
      <c r="I987">
        <v>88.0</v>
      </c>
      <c r="J987" t="str">
        <f t="shared" si="3"/>
        <v>279.4</v>
      </c>
      <c r="K987" t="str">
        <f t="shared" si="4"/>
        <v>787.908</v>
      </c>
      <c r="L987" t="str">
        <f t="shared" si="5"/>
        <v>5.25272</v>
      </c>
      <c r="M987" t="str">
        <f t="shared" si="6"/>
        <v>282</v>
      </c>
      <c r="N987" t="s">
        <v>182</v>
      </c>
      <c r="O987" t="s">
        <v>1843</v>
      </c>
    </row>
    <row r="988" ht="15.75" customHeight="1">
      <c r="A988">
        <v>990.0</v>
      </c>
      <c r="B988">
        <v>120.0</v>
      </c>
      <c r="C988">
        <v>110.0</v>
      </c>
      <c r="D988">
        <v>5.0</v>
      </c>
      <c r="E988" t="str">
        <f t="shared" si="1"/>
        <v>4.3</v>
      </c>
      <c r="F988">
        <v>2.0</v>
      </c>
      <c r="G988">
        <v>3.0</v>
      </c>
      <c r="H988" t="str">
        <f t="shared" si="2"/>
        <v>6</v>
      </c>
      <c r="I988">
        <v>108.0</v>
      </c>
      <c r="J988" t="str">
        <f t="shared" si="3"/>
        <v>342.9</v>
      </c>
      <c r="K988" t="str">
        <f t="shared" si="4"/>
        <v>915.543</v>
      </c>
      <c r="L988" t="str">
        <f t="shared" si="5"/>
        <v>15.25905</v>
      </c>
      <c r="M988" t="str">
        <f t="shared" si="6"/>
        <v>267</v>
      </c>
      <c r="N988" t="s">
        <v>182</v>
      </c>
      <c r="O988" t="s">
        <v>1844</v>
      </c>
      <c r="P988" t="s">
        <v>1845</v>
      </c>
    </row>
    <row r="989" ht="15.75" customHeight="1">
      <c r="A989">
        <v>991.0</v>
      </c>
      <c r="B989">
        <v>60.0</v>
      </c>
      <c r="C989">
        <v>50.0</v>
      </c>
      <c r="D989">
        <v>3.0</v>
      </c>
      <c r="E989" t="str">
        <f t="shared" si="1"/>
        <v>3.34</v>
      </c>
      <c r="F989">
        <v>4.0</v>
      </c>
      <c r="G989">
        <v>5.0</v>
      </c>
      <c r="H989" t="str">
        <f t="shared" si="2"/>
        <v>20</v>
      </c>
      <c r="I989">
        <v>84.0</v>
      </c>
      <c r="J989" t="str">
        <f t="shared" si="3"/>
        <v>266.7</v>
      </c>
      <c r="K989" t="str">
        <f t="shared" si="4"/>
        <v>717.423</v>
      </c>
      <c r="L989" t="str">
        <f t="shared" si="5"/>
        <v>3.587115</v>
      </c>
      <c r="M989" t="str">
        <f t="shared" si="6"/>
        <v>269</v>
      </c>
      <c r="N989" t="s">
        <v>187</v>
      </c>
      <c r="O989" t="s">
        <v>1846</v>
      </c>
      <c r="P989" s="126" t="s">
        <v>1552</v>
      </c>
    </row>
    <row r="990" ht="15.75" customHeight="1">
      <c r="A990">
        <v>992.0</v>
      </c>
      <c r="B990">
        <v>96.0</v>
      </c>
      <c r="C990">
        <v>57.0</v>
      </c>
      <c r="D990">
        <v>3.0</v>
      </c>
      <c r="E990" t="str">
        <f t="shared" si="1"/>
        <v>3.96</v>
      </c>
      <c r="F990">
        <v>2.0</v>
      </c>
      <c r="G990">
        <v>5.0</v>
      </c>
      <c r="H990" t="str">
        <f t="shared" si="2"/>
        <v>10</v>
      </c>
      <c r="I990">
        <v>96.0</v>
      </c>
      <c r="J990" t="str">
        <f t="shared" si="3"/>
        <v>304.8</v>
      </c>
      <c r="K990" t="str">
        <f t="shared" si="4"/>
        <v>655.32</v>
      </c>
      <c r="L990" t="str">
        <f t="shared" si="5"/>
        <v>6.5532</v>
      </c>
      <c r="M990" t="str">
        <f t="shared" si="6"/>
        <v>215</v>
      </c>
      <c r="N990" t="s">
        <v>187</v>
      </c>
      <c r="O990" t="s">
        <v>1847</v>
      </c>
      <c r="P990" s="126" t="s">
        <v>1552</v>
      </c>
    </row>
    <row r="991" ht="15.75" customHeight="1">
      <c r="A991">
        <v>993.0</v>
      </c>
      <c r="B991">
        <v>108.0</v>
      </c>
      <c r="C991">
        <v>80.0</v>
      </c>
      <c r="D991">
        <v>3.0</v>
      </c>
      <c r="E991" t="str">
        <f t="shared" si="1"/>
        <v>3.34375</v>
      </c>
      <c r="F991">
        <v>2.0</v>
      </c>
      <c r="G991">
        <v>4.0</v>
      </c>
      <c r="H991" t="str">
        <f t="shared" si="2"/>
        <v>8</v>
      </c>
      <c r="I991">
        <v>105.0</v>
      </c>
      <c r="J991" t="str">
        <f t="shared" si="3"/>
        <v>333.375</v>
      </c>
      <c r="K991" t="str">
        <f t="shared" si="4"/>
        <v>796.76625</v>
      </c>
      <c r="L991" t="str">
        <f t="shared" si="5"/>
        <v>9.959578125</v>
      </c>
      <c r="M991" t="str">
        <f t="shared" si="6"/>
        <v>239</v>
      </c>
      <c r="N991" t="s">
        <v>182</v>
      </c>
      <c r="O991" t="s">
        <v>1848</v>
      </c>
      <c r="P991" s="126" t="s">
        <v>1552</v>
      </c>
    </row>
    <row r="992" ht="15.75" customHeight="1">
      <c r="A992">
        <v>994.0</v>
      </c>
      <c r="B992">
        <v>55.0</v>
      </c>
      <c r="C992">
        <v>135.0</v>
      </c>
      <c r="D992">
        <v>3.0</v>
      </c>
      <c r="E992" t="str">
        <f t="shared" si="1"/>
        <v>4.7</v>
      </c>
      <c r="F992">
        <v>6.0</v>
      </c>
      <c r="G992">
        <v>2.0</v>
      </c>
      <c r="H992" t="str">
        <f t="shared" si="2"/>
        <v>12</v>
      </c>
      <c r="I992">
        <v>88.0</v>
      </c>
      <c r="J992" t="str">
        <f t="shared" si="3"/>
        <v>279.4</v>
      </c>
      <c r="K992" t="str">
        <f t="shared" si="4"/>
        <v>1019.81</v>
      </c>
      <c r="L992" t="str">
        <f t="shared" si="5"/>
        <v>8.498416667</v>
      </c>
      <c r="M992" t="str">
        <f t="shared" si="6"/>
        <v>365</v>
      </c>
      <c r="N992" t="s">
        <v>182</v>
      </c>
      <c r="O992" t="s">
        <v>1849</v>
      </c>
      <c r="P992" t="s">
        <v>1850</v>
      </c>
    </row>
    <row r="993" ht="15.75" customHeight="1">
      <c r="A993">
        <v>995.0</v>
      </c>
      <c r="B993">
        <v>37.0</v>
      </c>
      <c r="C993">
        <v>100.0</v>
      </c>
      <c r="D993">
        <v>3.0</v>
      </c>
      <c r="E993" t="str">
        <f t="shared" si="1"/>
        <v>3.716666667</v>
      </c>
      <c r="F993">
        <v>8.0</v>
      </c>
      <c r="G993">
        <v>3.0</v>
      </c>
      <c r="H993" t="str">
        <f t="shared" si="2"/>
        <v>24</v>
      </c>
      <c r="I993">
        <v>98.0</v>
      </c>
      <c r="J993" t="str">
        <f t="shared" si="3"/>
        <v>311.15</v>
      </c>
      <c r="K993" t="str">
        <f t="shared" si="4"/>
        <v>1048.5755</v>
      </c>
      <c r="L993" t="str">
        <f t="shared" si="5"/>
        <v>4.369064583</v>
      </c>
      <c r="M993" t="str">
        <f t="shared" si="6"/>
        <v>337</v>
      </c>
      <c r="N993" t="s">
        <v>182</v>
      </c>
      <c r="O993" t="s">
        <v>1851</v>
      </c>
    </row>
    <row r="994" ht="15.75" customHeight="1">
      <c r="A994">
        <v>996.0</v>
      </c>
      <c r="B994">
        <v>125.0</v>
      </c>
      <c r="C994">
        <v>160.0</v>
      </c>
      <c r="D994">
        <v>3.0</v>
      </c>
      <c r="E994" t="str">
        <f t="shared" si="1"/>
        <v>6.6875</v>
      </c>
      <c r="F994">
        <v>2.0</v>
      </c>
      <c r="G994">
        <v>2.0</v>
      </c>
      <c r="H994" t="str">
        <f t="shared" si="2"/>
        <v>4</v>
      </c>
      <c r="I994">
        <v>105.0</v>
      </c>
      <c r="J994" t="str">
        <f t="shared" si="3"/>
        <v>333.375</v>
      </c>
      <c r="K994" t="str">
        <f t="shared" si="4"/>
        <v>910.11375</v>
      </c>
      <c r="L994" t="str">
        <f t="shared" si="5"/>
        <v>22.75284375</v>
      </c>
      <c r="M994" t="str">
        <f t="shared" si="6"/>
        <v>273</v>
      </c>
      <c r="N994" t="s">
        <v>187</v>
      </c>
      <c r="O994" t="s">
        <v>1852</v>
      </c>
    </row>
    <row r="995" ht="15.75" customHeight="1">
      <c r="A995">
        <v>997.0</v>
      </c>
      <c r="B995">
        <v>90.0</v>
      </c>
      <c r="C995">
        <v>130.0</v>
      </c>
      <c r="D995">
        <v>3.0</v>
      </c>
      <c r="E995" t="str">
        <f t="shared" si="1"/>
        <v>3.35</v>
      </c>
      <c r="F995">
        <v>3.0</v>
      </c>
      <c r="G995">
        <v>2.0</v>
      </c>
      <c r="H995" t="str">
        <f t="shared" si="2"/>
        <v>6</v>
      </c>
      <c r="I995">
        <v>84.0</v>
      </c>
      <c r="J995" t="str">
        <f t="shared" si="3"/>
        <v>266.7</v>
      </c>
      <c r="K995" t="str">
        <f t="shared" si="4"/>
        <v>789.432</v>
      </c>
      <c r="L995" t="str">
        <f t="shared" si="5"/>
        <v>13.1572</v>
      </c>
      <c r="M995" t="str">
        <f t="shared" si="6"/>
        <v>296</v>
      </c>
      <c r="N995" t="s">
        <v>187</v>
      </c>
      <c r="O995" t="s">
        <v>1853</v>
      </c>
    </row>
    <row r="996" ht="15.75" customHeight="1">
      <c r="A996">
        <v>998.0</v>
      </c>
      <c r="B996">
        <v>80.0</v>
      </c>
      <c r="C996">
        <v>52.0</v>
      </c>
      <c r="D996">
        <v>3.0</v>
      </c>
      <c r="E996" t="str">
        <f t="shared" si="1"/>
        <v>3.88</v>
      </c>
      <c r="F996">
        <v>4.0</v>
      </c>
      <c r="G996">
        <v>5.0</v>
      </c>
      <c r="H996" t="str">
        <f t="shared" si="2"/>
        <v>20</v>
      </c>
      <c r="I996">
        <v>88.0</v>
      </c>
      <c r="J996" t="str">
        <f t="shared" si="3"/>
        <v>279.4</v>
      </c>
      <c r="K996" t="str">
        <f t="shared" si="4"/>
        <v>975.106</v>
      </c>
      <c r="L996" t="str">
        <f t="shared" si="5"/>
        <v>4.87553</v>
      </c>
      <c r="M996" t="str">
        <f t="shared" si="6"/>
        <v>349</v>
      </c>
      <c r="N996" t="s">
        <v>187</v>
      </c>
      <c r="O996" t="s">
        <v>1854</v>
      </c>
      <c r="P996" t="s">
        <v>1855</v>
      </c>
    </row>
    <row r="997" ht="15.75" customHeight="1">
      <c r="A997">
        <v>999.0</v>
      </c>
      <c r="B997">
        <v>64.0</v>
      </c>
      <c r="C997">
        <v>177.0</v>
      </c>
      <c r="D997">
        <v>3.0</v>
      </c>
      <c r="E997" t="str">
        <f t="shared" si="1"/>
        <v>9.266666667</v>
      </c>
      <c r="F997">
        <v>5.0</v>
      </c>
      <c r="G997">
        <v>3.0</v>
      </c>
      <c r="H997" t="str">
        <f t="shared" si="2"/>
        <v>15</v>
      </c>
      <c r="I997">
        <v>176.0</v>
      </c>
      <c r="J997" t="str">
        <f t="shared" si="3"/>
        <v>558.8</v>
      </c>
      <c r="K997" t="str">
        <f t="shared" si="4"/>
        <v>1966.976</v>
      </c>
      <c r="L997" t="str">
        <f t="shared" si="5"/>
        <v>13.11317333</v>
      </c>
      <c r="M997" t="str">
        <f t="shared" si="6"/>
        <v>352</v>
      </c>
      <c r="N997" t="s">
        <v>187</v>
      </c>
      <c r="O997" t="s">
        <v>1856</v>
      </c>
    </row>
    <row r="998" ht="15.75" customHeight="1">
      <c r="A998">
        <v>1000.0</v>
      </c>
      <c r="B998">
        <v>50.0</v>
      </c>
      <c r="C998">
        <v>210.0</v>
      </c>
      <c r="D998">
        <v>3.0</v>
      </c>
      <c r="E998" t="str">
        <f t="shared" si="1"/>
        <v>4.3125</v>
      </c>
      <c r="F998">
        <v>4.0</v>
      </c>
      <c r="G998">
        <v>2.0</v>
      </c>
      <c r="H998" t="str">
        <f t="shared" si="2"/>
        <v>8</v>
      </c>
      <c r="I998">
        <v>135.0</v>
      </c>
      <c r="J998" t="str">
        <f t="shared" si="3"/>
        <v>428.625</v>
      </c>
      <c r="K998" t="str">
        <f t="shared" si="4"/>
        <v>981.55125</v>
      </c>
      <c r="L998" t="str">
        <f t="shared" si="5"/>
        <v>12.26939063</v>
      </c>
      <c r="M998" t="str">
        <f t="shared" si="6"/>
        <v>229</v>
      </c>
      <c r="N998" t="s">
        <v>182</v>
      </c>
      <c r="O998" t="s">
        <v>1857</v>
      </c>
    </row>
    <row r="999" ht="15.75" customHeight="1">
      <c r="A999">
        <v>1001.0</v>
      </c>
      <c r="B999">
        <v>50.0</v>
      </c>
      <c r="C999">
        <v>20.0</v>
      </c>
      <c r="D999">
        <v>3.0</v>
      </c>
      <c r="E999" t="str">
        <f t="shared" si="1"/>
        <v>2.754166667</v>
      </c>
      <c r="F999">
        <v>6.0</v>
      </c>
      <c r="G999">
        <v>12.0</v>
      </c>
      <c r="H999" t="str">
        <f t="shared" si="2"/>
        <v>72</v>
      </c>
      <c r="I999">
        <v>86.0</v>
      </c>
      <c r="J999" t="str">
        <f t="shared" si="3"/>
        <v>273.05</v>
      </c>
      <c r="K999" t="str">
        <f t="shared" si="4"/>
        <v>914.7175</v>
      </c>
      <c r="L999" t="str">
        <f t="shared" si="5"/>
        <v>1.270440972</v>
      </c>
      <c r="M999" t="str">
        <f t="shared" si="6"/>
        <v>335</v>
      </c>
      <c r="N999" t="s">
        <v>182</v>
      </c>
      <c r="O999" t="s">
        <v>1858</v>
      </c>
    </row>
    <row r="1000" ht="15.75" customHeight="1">
      <c r="A1000">
        <v>1002.0</v>
      </c>
      <c r="B1000">
        <v>45.0</v>
      </c>
      <c r="C1000">
        <v>20.0</v>
      </c>
      <c r="D1000">
        <v>3.75</v>
      </c>
      <c r="E1000" t="str">
        <f t="shared" si="1"/>
        <v>3.446153846</v>
      </c>
      <c r="F1000">
        <v>3.0</v>
      </c>
      <c r="G1000">
        <v>13.0</v>
      </c>
      <c r="H1000" t="str">
        <f t="shared" si="2"/>
        <v>39</v>
      </c>
      <c r="I1000">
        <v>96.0</v>
      </c>
      <c r="J1000" t="str">
        <f t="shared" si="3"/>
        <v>304.8</v>
      </c>
      <c r="K1000" t="str">
        <f t="shared" si="4"/>
        <v>497.586</v>
      </c>
      <c r="L1000" t="str">
        <f t="shared" si="5"/>
        <v>1.275861538</v>
      </c>
      <c r="M1000" t="str">
        <f t="shared" si="6"/>
        <v>163.25</v>
      </c>
      <c r="N1000" t="s">
        <v>187</v>
      </c>
      <c r="O1000" t="s">
        <v>1859</v>
      </c>
      <c r="P1000" t="s">
        <v>1860</v>
      </c>
    </row>
    <row r="1001" ht="15.75" customHeight="1">
      <c r="A1001">
        <v>1003.0</v>
      </c>
      <c r="B1001">
        <v>135.0</v>
      </c>
      <c r="C1001">
        <v>161.0</v>
      </c>
      <c r="D1001">
        <v>3.0</v>
      </c>
      <c r="E1001" t="str">
        <f t="shared" si="1"/>
        <v>10.45</v>
      </c>
      <c r="F1001">
        <v>2.0</v>
      </c>
      <c r="G1001">
        <v>2.0</v>
      </c>
      <c r="H1001" t="str">
        <f t="shared" si="2"/>
        <v>4</v>
      </c>
      <c r="I1001">
        <v>108.0</v>
      </c>
      <c r="J1001" t="str">
        <f t="shared" si="3"/>
        <v>342.9</v>
      </c>
      <c r="K1001" t="str">
        <f t="shared" si="4"/>
        <v>1004.697</v>
      </c>
      <c r="L1001" t="str">
        <f t="shared" si="5"/>
        <v>25.117425</v>
      </c>
      <c r="M1001" t="str">
        <f t="shared" si="6"/>
        <v>293</v>
      </c>
      <c r="N1001" t="s">
        <v>187</v>
      </c>
      <c r="O1001" t="s">
        <v>1861</v>
      </c>
    </row>
    <row r="1002" ht="15.75" customHeight="1">
      <c r="A1002">
        <v>1004.0</v>
      </c>
      <c r="B1002">
        <v>135.0</v>
      </c>
      <c r="C1002">
        <v>65.0</v>
      </c>
      <c r="D1002">
        <v>3.0</v>
      </c>
      <c r="E1002" t="str">
        <f t="shared" si="1"/>
        <v>3.2625</v>
      </c>
      <c r="F1002">
        <v>2.0</v>
      </c>
      <c r="G1002">
        <v>4.0</v>
      </c>
      <c r="H1002" t="str">
        <f t="shared" si="2"/>
        <v>8</v>
      </c>
      <c r="I1002">
        <v>86.0</v>
      </c>
      <c r="J1002" t="str">
        <f t="shared" si="3"/>
        <v>273.05</v>
      </c>
      <c r="K1002" t="str">
        <f t="shared" si="4"/>
        <v>800.0365</v>
      </c>
      <c r="L1002" t="str">
        <f t="shared" si="5"/>
        <v>10.00045625</v>
      </c>
      <c r="M1002" t="str">
        <f t="shared" si="6"/>
        <v>293</v>
      </c>
      <c r="N1002" t="s">
        <v>187</v>
      </c>
      <c r="O1002" t="s">
        <v>1862</v>
      </c>
      <c r="P1002" s="126" t="s">
        <v>1527</v>
      </c>
    </row>
    <row r="1003" ht="15.75" customHeight="1">
      <c r="A1003">
        <v>1005.0</v>
      </c>
      <c r="B1003">
        <v>45.0</v>
      </c>
      <c r="C1003">
        <v>20.0</v>
      </c>
      <c r="D1003">
        <v>3.75</v>
      </c>
      <c r="E1003" t="str">
        <f t="shared" si="1"/>
        <v>3.446153846</v>
      </c>
      <c r="F1003">
        <v>6.0</v>
      </c>
      <c r="G1003">
        <v>13.0</v>
      </c>
      <c r="H1003" t="str">
        <f t="shared" si="2"/>
        <v>78</v>
      </c>
      <c r="I1003">
        <v>96.0</v>
      </c>
      <c r="J1003" t="str">
        <f t="shared" si="3"/>
        <v>304.8</v>
      </c>
      <c r="K1003" t="str">
        <f t="shared" si="4"/>
        <v>943.356</v>
      </c>
      <c r="L1003" t="str">
        <f t="shared" si="5"/>
        <v>1.209430769</v>
      </c>
      <c r="M1003" t="str">
        <f t="shared" si="6"/>
        <v>309.5</v>
      </c>
      <c r="N1003" t="s">
        <v>187</v>
      </c>
      <c r="O1003" t="s">
        <v>1863</v>
      </c>
      <c r="P1003" s="126" t="s">
        <v>1527</v>
      </c>
    </row>
    <row r="1004" ht="15.75" customHeight="1">
      <c r="A1004">
        <v>1006.0</v>
      </c>
      <c r="B1004">
        <v>120.0</v>
      </c>
      <c r="C1004">
        <v>100.0</v>
      </c>
      <c r="D1004">
        <v>3.0</v>
      </c>
      <c r="E1004" t="str">
        <f t="shared" si="1"/>
        <v>7.95</v>
      </c>
      <c r="F1004">
        <v>2.0</v>
      </c>
      <c r="G1004">
        <v>3.0</v>
      </c>
      <c r="H1004" t="str">
        <f t="shared" si="2"/>
        <v>6</v>
      </c>
      <c r="I1004">
        <v>102.0</v>
      </c>
      <c r="J1004" t="str">
        <f t="shared" si="3"/>
        <v>323.85</v>
      </c>
      <c r="K1004" t="str">
        <f t="shared" si="4"/>
        <v>851.7255</v>
      </c>
      <c r="L1004" t="str">
        <f t="shared" si="5"/>
        <v>14.195425</v>
      </c>
      <c r="M1004" t="str">
        <f t="shared" si="6"/>
        <v>263</v>
      </c>
      <c r="N1004" t="s">
        <v>182</v>
      </c>
      <c r="O1004" t="s">
        <v>1864</v>
      </c>
    </row>
    <row r="1005" ht="15.75" customHeight="1">
      <c r="A1005">
        <v>1007.0</v>
      </c>
      <c r="B1005">
        <v>121.3</v>
      </c>
      <c r="C1005">
        <v>95.0</v>
      </c>
      <c r="D1005">
        <v>3.0</v>
      </c>
      <c r="E1005" t="str">
        <f t="shared" si="1"/>
        <v>5.0125</v>
      </c>
      <c r="F1005">
        <v>2.0</v>
      </c>
      <c r="G1005">
        <v>4.0</v>
      </c>
      <c r="H1005" t="str">
        <f t="shared" si="2"/>
        <v>8</v>
      </c>
      <c r="I1005">
        <v>126.0</v>
      </c>
      <c r="J1005" t="str">
        <f t="shared" si="3"/>
        <v>400.05</v>
      </c>
      <c r="K1005" t="str">
        <f t="shared" si="4"/>
        <v>1062.5328</v>
      </c>
      <c r="L1005" t="str">
        <f t="shared" si="5"/>
        <v>13.28166</v>
      </c>
      <c r="M1005" t="str">
        <f t="shared" si="6"/>
        <v>265.6</v>
      </c>
      <c r="N1005" t="s">
        <v>187</v>
      </c>
      <c r="O1005" t="s">
        <v>1865</v>
      </c>
      <c r="P1005" s="126" t="s">
        <v>1866</v>
      </c>
    </row>
    <row r="1006" ht="15.75" customHeight="1">
      <c r="A1006">
        <v>1008.0</v>
      </c>
      <c r="B1006">
        <v>85.0</v>
      </c>
      <c r="C1006">
        <v>58.0</v>
      </c>
      <c r="D1006">
        <v>3.0</v>
      </c>
      <c r="E1006" t="str">
        <f t="shared" si="1"/>
        <v>2.96</v>
      </c>
      <c r="F1006">
        <v>4.0</v>
      </c>
      <c r="G1006">
        <v>5.0</v>
      </c>
      <c r="H1006" t="str">
        <f t="shared" si="2"/>
        <v>20</v>
      </c>
      <c r="I1006">
        <v>96.0</v>
      </c>
      <c r="J1006" t="str">
        <f t="shared" si="3"/>
        <v>304.8</v>
      </c>
      <c r="K1006" t="str">
        <f t="shared" si="4"/>
        <v>1124.712</v>
      </c>
      <c r="L1006" t="str">
        <f t="shared" si="5"/>
        <v>5.62356</v>
      </c>
      <c r="M1006" t="str">
        <f t="shared" si="6"/>
        <v>369</v>
      </c>
      <c r="N1006" t="s">
        <v>187</v>
      </c>
      <c r="O1006" t="s">
        <v>1867</v>
      </c>
      <c r="P1006" s="126" t="s">
        <v>1826</v>
      </c>
    </row>
    <row r="1007" ht="15.75" customHeight="1">
      <c r="A1007">
        <v>1009.0</v>
      </c>
      <c r="B1007">
        <v>140.0</v>
      </c>
      <c r="C1007">
        <v>58.0</v>
      </c>
      <c r="D1007">
        <v>3.0</v>
      </c>
      <c r="E1007" t="str">
        <f t="shared" si="1"/>
        <v>2.96</v>
      </c>
      <c r="F1007">
        <v>2.0</v>
      </c>
      <c r="G1007">
        <v>5.0</v>
      </c>
      <c r="H1007" t="str">
        <f t="shared" si="2"/>
        <v>10</v>
      </c>
      <c r="I1007">
        <v>96.0</v>
      </c>
      <c r="J1007" t="str">
        <f t="shared" si="3"/>
        <v>304.8</v>
      </c>
      <c r="K1007" t="str">
        <f t="shared" si="4"/>
        <v>923.544</v>
      </c>
      <c r="L1007" t="str">
        <f t="shared" si="5"/>
        <v>9.23544</v>
      </c>
      <c r="M1007" t="str">
        <f t="shared" si="6"/>
        <v>303</v>
      </c>
      <c r="N1007" t="s">
        <v>187</v>
      </c>
      <c r="O1007" t="s">
        <v>1868</v>
      </c>
      <c r="P1007" s="126" t="s">
        <v>1826</v>
      </c>
    </row>
    <row r="1008" ht="15.75" customHeight="1">
      <c r="A1008">
        <v>1010.0</v>
      </c>
      <c r="B1008">
        <v>107.0</v>
      </c>
      <c r="C1008">
        <v>45.0</v>
      </c>
      <c r="D1008">
        <v>3.0</v>
      </c>
      <c r="E1008" t="str">
        <f t="shared" si="1"/>
        <v>2.625</v>
      </c>
      <c r="F1008">
        <v>2.0</v>
      </c>
      <c r="G1008">
        <v>6.0</v>
      </c>
      <c r="H1008" t="str">
        <f t="shared" si="2"/>
        <v>12</v>
      </c>
      <c r="I1008">
        <v>90.0</v>
      </c>
      <c r="J1008" t="str">
        <f t="shared" si="3"/>
        <v>285.75</v>
      </c>
      <c r="K1008" t="str">
        <f t="shared" si="4"/>
        <v>677.2275</v>
      </c>
      <c r="L1008" t="str">
        <f t="shared" si="5"/>
        <v>5.6435625</v>
      </c>
      <c r="M1008" t="str">
        <f t="shared" si="6"/>
        <v>237</v>
      </c>
      <c r="N1008" t="s">
        <v>187</v>
      </c>
      <c r="O1008" t="s">
        <v>1869</v>
      </c>
      <c r="P1008" t="s">
        <v>1870</v>
      </c>
    </row>
    <row r="1009" ht="15.75" customHeight="1">
      <c r="A1009">
        <v>1011.0</v>
      </c>
      <c r="B1009">
        <v>60.0</v>
      </c>
      <c r="C1009">
        <v>135.0</v>
      </c>
      <c r="D1009">
        <v>3.0</v>
      </c>
      <c r="E1009" t="str">
        <f t="shared" si="1"/>
        <v>4.7</v>
      </c>
      <c r="F1009">
        <v>5.0</v>
      </c>
      <c r="G1009">
        <v>2.0</v>
      </c>
      <c r="H1009" t="str">
        <f t="shared" si="2"/>
        <v>10</v>
      </c>
      <c r="I1009">
        <v>88.0</v>
      </c>
      <c r="J1009" t="str">
        <f t="shared" si="3"/>
        <v>279.4</v>
      </c>
      <c r="K1009" t="str">
        <f t="shared" si="4"/>
        <v>927.608</v>
      </c>
      <c r="L1009" t="str">
        <f t="shared" si="5"/>
        <v>9.27608</v>
      </c>
      <c r="M1009" t="str">
        <f t="shared" si="6"/>
        <v>332</v>
      </c>
      <c r="N1009" t="s">
        <v>187</v>
      </c>
      <c r="O1009" t="s">
        <v>1871</v>
      </c>
      <c r="P1009" t="s">
        <v>1872</v>
      </c>
    </row>
    <row r="1010" ht="15.75" customHeight="1">
      <c r="A1010">
        <v>1012.0</v>
      </c>
      <c r="B1010">
        <v>130.9</v>
      </c>
      <c r="C1010">
        <v>112.0</v>
      </c>
      <c r="D1010">
        <v>5.0</v>
      </c>
      <c r="E1010" t="str">
        <f t="shared" si="1"/>
        <v>5.475</v>
      </c>
      <c r="F1010">
        <v>4.0</v>
      </c>
      <c r="G1010">
        <v>4.0</v>
      </c>
      <c r="H1010" t="str">
        <f t="shared" si="2"/>
        <v>16</v>
      </c>
      <c r="I1010">
        <v>148.0</v>
      </c>
      <c r="J1010" t="str">
        <f t="shared" si="3"/>
        <v>469.9</v>
      </c>
      <c r="K1010" t="str">
        <f t="shared" si="4"/>
        <v>2634.2594</v>
      </c>
      <c r="L1010" t="str">
        <f t="shared" si="5"/>
        <v>16.46412125</v>
      </c>
      <c r="M1010" t="str">
        <f t="shared" si="6"/>
        <v>560.6</v>
      </c>
      <c r="N1010" t="s">
        <v>182</v>
      </c>
      <c r="O1010" t="s">
        <v>1873</v>
      </c>
      <c r="P1010" t="s">
        <v>1874</v>
      </c>
    </row>
    <row r="1011" ht="15.75" customHeight="1">
      <c r="A1011">
        <v>1013.0</v>
      </c>
      <c r="B1011">
        <v>145.0</v>
      </c>
      <c r="C1011">
        <v>130.0</v>
      </c>
      <c r="D1011">
        <v>3.0</v>
      </c>
      <c r="E1011" t="str">
        <f t="shared" si="1"/>
        <v>3.35</v>
      </c>
      <c r="F1011">
        <v>2.0</v>
      </c>
      <c r="G1011">
        <v>3.0</v>
      </c>
      <c r="H1011" t="str">
        <f t="shared" si="2"/>
        <v>6</v>
      </c>
      <c r="I1011">
        <v>126.0</v>
      </c>
      <c r="J1011" t="str">
        <f t="shared" si="3"/>
        <v>400.05</v>
      </c>
      <c r="K1011" t="str">
        <f t="shared" si="4"/>
        <v>1252.1565</v>
      </c>
      <c r="L1011" t="str">
        <f t="shared" si="5"/>
        <v>20.869275</v>
      </c>
      <c r="M1011" t="str">
        <f t="shared" si="6"/>
        <v>313</v>
      </c>
      <c r="N1011" t="s">
        <v>182</v>
      </c>
      <c r="O1011" t="s">
        <v>1875</v>
      </c>
      <c r="P1011" t="s">
        <v>1876</v>
      </c>
    </row>
    <row r="1012" ht="15.75" customHeight="1">
      <c r="A1012">
        <v>1014.0</v>
      </c>
      <c r="B1012">
        <v>60.0</v>
      </c>
      <c r="C1012">
        <v>60.0</v>
      </c>
      <c r="D1012">
        <v>3.0</v>
      </c>
      <c r="E1012" t="str">
        <f t="shared" si="1"/>
        <v>3.5</v>
      </c>
      <c r="F1012">
        <v>6.0</v>
      </c>
      <c r="G1012">
        <v>6.0</v>
      </c>
      <c r="H1012" t="str">
        <f t="shared" si="2"/>
        <v>36</v>
      </c>
      <c r="I1012">
        <v>120.0</v>
      </c>
      <c r="J1012" t="str">
        <f t="shared" si="3"/>
        <v>381</v>
      </c>
      <c r="K1012" t="str">
        <f t="shared" si="4"/>
        <v>1504.95</v>
      </c>
      <c r="L1012" t="str">
        <f t="shared" si="5"/>
        <v>4.180416667</v>
      </c>
      <c r="M1012" t="str">
        <f t="shared" si="6"/>
        <v>395</v>
      </c>
      <c r="N1012" t="s">
        <v>187</v>
      </c>
      <c r="O1012" t="s">
        <v>1877</v>
      </c>
      <c r="P1012" t="s">
        <v>1878</v>
      </c>
    </row>
    <row r="1013" ht="15.75" customHeight="1">
      <c r="A1013">
        <v>1015.0</v>
      </c>
      <c r="B1013">
        <v>15.0</v>
      </c>
      <c r="C1013">
        <v>68.0</v>
      </c>
      <c r="D1013">
        <v>3.0</v>
      </c>
      <c r="E1013" t="str">
        <f t="shared" si="1"/>
        <v>3.4375</v>
      </c>
      <c r="F1013">
        <v>10.0</v>
      </c>
      <c r="G1013">
        <v>4.0</v>
      </c>
      <c r="H1013" t="str">
        <f t="shared" si="2"/>
        <v>40</v>
      </c>
      <c r="I1013">
        <v>90.0</v>
      </c>
      <c r="J1013" t="str">
        <f t="shared" si="3"/>
        <v>285.75</v>
      </c>
      <c r="K1013" t="str">
        <f t="shared" si="4"/>
        <v>562.9275</v>
      </c>
      <c r="L1013" t="str">
        <f t="shared" si="5"/>
        <v>1.40731875</v>
      </c>
      <c r="M1013" t="str">
        <f t="shared" si="6"/>
        <v>197</v>
      </c>
      <c r="N1013" t="s">
        <v>187</v>
      </c>
      <c r="O1013" t="s">
        <v>1879</v>
      </c>
      <c r="P1013" t="s">
        <v>1880</v>
      </c>
    </row>
    <row r="1014" ht="15.75" customHeight="1">
      <c r="A1014">
        <v>1016.0</v>
      </c>
      <c r="B1014">
        <v>55.0</v>
      </c>
      <c r="C1014">
        <v>60.0</v>
      </c>
      <c r="D1014">
        <v>3.0</v>
      </c>
      <c r="E1014" t="str">
        <f t="shared" si="1"/>
        <v>3.5</v>
      </c>
      <c r="F1014">
        <v>4.0</v>
      </c>
      <c r="G1014">
        <v>6.0</v>
      </c>
      <c r="H1014" t="str">
        <f t="shared" si="2"/>
        <v>24</v>
      </c>
      <c r="I1014">
        <v>120.0</v>
      </c>
      <c r="J1014" t="str">
        <f t="shared" si="3"/>
        <v>381</v>
      </c>
      <c r="K1014" t="str">
        <f t="shared" si="4"/>
        <v>948.69</v>
      </c>
      <c r="L1014" t="str">
        <f t="shared" si="5"/>
        <v>3.952875</v>
      </c>
      <c r="M1014" t="str">
        <f t="shared" si="6"/>
        <v>249</v>
      </c>
      <c r="N1014" t="s">
        <v>187</v>
      </c>
      <c r="O1014" t="s">
        <v>1881</v>
      </c>
    </row>
    <row r="1015" ht="15.75" customHeight="1">
      <c r="A1015">
        <v>1017.0</v>
      </c>
      <c r="B1015">
        <v>166.0</v>
      </c>
      <c r="C1015">
        <v>97.0</v>
      </c>
      <c r="D1015">
        <v>5.0</v>
      </c>
      <c r="E1015" t="str">
        <f t="shared" si="1"/>
        <v>3.0125</v>
      </c>
      <c r="F1015">
        <v>2.0</v>
      </c>
      <c r="G1015">
        <v>4.0</v>
      </c>
      <c r="H1015" t="str">
        <f t="shared" si="2"/>
        <v>8</v>
      </c>
      <c r="I1015">
        <v>126.0</v>
      </c>
      <c r="J1015" t="str">
        <f t="shared" si="3"/>
        <v>400.05</v>
      </c>
      <c r="K1015" t="str">
        <f t="shared" si="4"/>
        <v>1436.1795</v>
      </c>
      <c r="L1015" t="str">
        <f t="shared" si="5"/>
        <v>17.95224375</v>
      </c>
      <c r="M1015" t="str">
        <f t="shared" si="6"/>
        <v>359</v>
      </c>
      <c r="N1015" t="s">
        <v>182</v>
      </c>
      <c r="O1015" t="s">
        <v>1882</v>
      </c>
      <c r="P1015" t="s">
        <v>1883</v>
      </c>
    </row>
    <row r="1016" ht="15.75" customHeight="1">
      <c r="A1016">
        <v>1018.0</v>
      </c>
      <c r="B1016">
        <v>64.0</v>
      </c>
      <c r="C1016">
        <v>90.0</v>
      </c>
      <c r="D1016">
        <v>3.0</v>
      </c>
      <c r="E1016" t="str">
        <f t="shared" si="1"/>
        <v>3.133333333</v>
      </c>
      <c r="F1016">
        <v>6.0</v>
      </c>
      <c r="G1016">
        <v>6.0</v>
      </c>
      <c r="H1016" t="str">
        <f t="shared" si="2"/>
        <v>36</v>
      </c>
      <c r="I1016">
        <v>176.0</v>
      </c>
      <c r="J1016" t="str">
        <f t="shared" si="3"/>
        <v>558.8</v>
      </c>
      <c r="K1016" t="str">
        <f t="shared" si="4"/>
        <v>2341.372</v>
      </c>
      <c r="L1016" t="str">
        <f t="shared" si="5"/>
        <v>6.503811111</v>
      </c>
      <c r="M1016" t="str">
        <f t="shared" si="6"/>
        <v>419</v>
      </c>
      <c r="N1016" t="s">
        <v>182</v>
      </c>
      <c r="O1016" t="s">
        <v>1884</v>
      </c>
    </row>
    <row r="1017" ht="15.75" customHeight="1">
      <c r="A1017">
        <v>1019.0</v>
      </c>
      <c r="B1017">
        <v>60.0</v>
      </c>
      <c r="C1017">
        <v>30.0</v>
      </c>
      <c r="D1017">
        <v>3.0</v>
      </c>
      <c r="E1017" t="str">
        <f t="shared" si="1"/>
        <v>4.925</v>
      </c>
      <c r="F1017">
        <v>6.0</v>
      </c>
      <c r="G1017">
        <v>15.0</v>
      </c>
      <c r="H1017" t="str">
        <f t="shared" si="2"/>
        <v>90</v>
      </c>
      <c r="I1017">
        <v>165.0</v>
      </c>
      <c r="J1017" t="str">
        <f t="shared" si="3"/>
        <v>523.875</v>
      </c>
      <c r="K1017" t="str">
        <f t="shared" si="4"/>
        <v>2069.30625</v>
      </c>
      <c r="L1017" t="str">
        <f t="shared" si="5"/>
        <v>2.299229167</v>
      </c>
      <c r="M1017" t="str">
        <f t="shared" si="6"/>
        <v>395</v>
      </c>
      <c r="N1017" t="s">
        <v>187</v>
      </c>
      <c r="O1017" t="s">
        <v>1885</v>
      </c>
      <c r="P1017" t="s">
        <v>1886</v>
      </c>
    </row>
    <row r="1018" ht="15.75" customHeight="1">
      <c r="A1018">
        <v>1020.0</v>
      </c>
      <c r="B1018">
        <v>286.4</v>
      </c>
      <c r="C1018">
        <v>132.5</v>
      </c>
      <c r="D1018">
        <v>5.0</v>
      </c>
      <c r="E1018" t="str">
        <f t="shared" si="1"/>
        <v>4.025</v>
      </c>
      <c r="F1018">
        <v>1.0</v>
      </c>
      <c r="G1018">
        <v>2.0</v>
      </c>
      <c r="H1018" t="str">
        <f t="shared" si="2"/>
        <v>2</v>
      </c>
      <c r="I1018">
        <v>86.0</v>
      </c>
      <c r="J1018" t="str">
        <f t="shared" si="3"/>
        <v>273.05</v>
      </c>
      <c r="K1018" t="str">
        <f t="shared" si="4"/>
        <v>842.0862</v>
      </c>
      <c r="L1018" t="str">
        <f t="shared" si="5"/>
        <v>42.10431</v>
      </c>
      <c r="M1018" t="str">
        <f t="shared" si="6"/>
        <v>308.4</v>
      </c>
      <c r="N1018" t="s">
        <v>182</v>
      </c>
      <c r="O1018" t="s">
        <v>1887</v>
      </c>
      <c r="P1018" t="s">
        <v>1888</v>
      </c>
    </row>
    <row r="1019" ht="15.75" customHeight="1">
      <c r="A1019">
        <v>1021.0</v>
      </c>
      <c r="B1019">
        <v>235.0</v>
      </c>
      <c r="C1019">
        <v>105.0</v>
      </c>
      <c r="D1019">
        <v>5.0</v>
      </c>
      <c r="E1019" t="str">
        <f t="shared" si="1"/>
        <v>6.125</v>
      </c>
      <c r="F1019">
        <v>1.0</v>
      </c>
      <c r="G1019">
        <v>3.0</v>
      </c>
      <c r="H1019" t="str">
        <f t="shared" si="2"/>
        <v>3</v>
      </c>
      <c r="I1019">
        <v>105.0</v>
      </c>
      <c r="J1019" t="str">
        <f t="shared" si="3"/>
        <v>333.375</v>
      </c>
      <c r="K1019" t="str">
        <f t="shared" si="4"/>
        <v>856.77375</v>
      </c>
      <c r="L1019" t="str">
        <f t="shared" si="5"/>
        <v>28.559125</v>
      </c>
      <c r="M1019" t="str">
        <f t="shared" si="6"/>
        <v>257</v>
      </c>
      <c r="N1019" t="s">
        <v>182</v>
      </c>
      <c r="O1019" t="s">
        <v>1889</v>
      </c>
      <c r="P1019" t="s">
        <v>1890</v>
      </c>
    </row>
    <row r="1020" ht="15.75" customHeight="1">
      <c r="A1020">
        <v>1022.0</v>
      </c>
      <c r="B1020">
        <v>105.0</v>
      </c>
      <c r="C1020">
        <v>95.0</v>
      </c>
      <c r="D1020">
        <v>5.0</v>
      </c>
      <c r="E1020" t="str">
        <f t="shared" si="1"/>
        <v>6.6</v>
      </c>
      <c r="F1020">
        <v>2.0</v>
      </c>
      <c r="G1020">
        <v>3.0</v>
      </c>
      <c r="H1020" t="str">
        <f t="shared" si="2"/>
        <v>6</v>
      </c>
      <c r="I1020">
        <v>96.0</v>
      </c>
      <c r="J1020" t="str">
        <f t="shared" si="3"/>
        <v>304.8</v>
      </c>
      <c r="K1020" t="str">
        <f t="shared" si="4"/>
        <v>722.376</v>
      </c>
      <c r="L1020" t="str">
        <f t="shared" si="5"/>
        <v>12.0396</v>
      </c>
      <c r="M1020" t="str">
        <f t="shared" si="6"/>
        <v>237</v>
      </c>
      <c r="N1020" t="s">
        <v>182</v>
      </c>
      <c r="O1020" t="s">
        <v>1891</v>
      </c>
      <c r="P1020" t="s">
        <v>1892</v>
      </c>
    </row>
    <row r="1021" ht="15.75" customHeight="1">
      <c r="A1021">
        <v>1023.0</v>
      </c>
      <c r="B1021">
        <v>110.0</v>
      </c>
      <c r="C1021">
        <v>105.0</v>
      </c>
      <c r="D1021">
        <v>6.0</v>
      </c>
      <c r="E1021" t="str">
        <f t="shared" si="1"/>
        <v>6.125</v>
      </c>
      <c r="F1021">
        <v>2.0</v>
      </c>
      <c r="G1021">
        <v>3.0</v>
      </c>
      <c r="H1021" t="str">
        <f t="shared" si="2"/>
        <v>6</v>
      </c>
      <c r="I1021">
        <v>105.0</v>
      </c>
      <c r="J1021" t="str">
        <f t="shared" si="3"/>
        <v>333.375</v>
      </c>
      <c r="K1021" t="str">
        <f t="shared" si="4"/>
        <v>830.10375</v>
      </c>
      <c r="L1021" t="str">
        <f t="shared" si="5"/>
        <v>13.8350625</v>
      </c>
      <c r="M1021" t="str">
        <f t="shared" si="6"/>
        <v>249</v>
      </c>
      <c r="N1021" t="s">
        <v>182</v>
      </c>
      <c r="O1021" t="s">
        <v>1893</v>
      </c>
      <c r="P1021" t="s">
        <v>1894</v>
      </c>
    </row>
    <row r="1022" ht="15.75" customHeight="1">
      <c r="A1022">
        <v>1024.0</v>
      </c>
      <c r="B1022">
        <v>45.0</v>
      </c>
      <c r="C1022">
        <v>135.0</v>
      </c>
      <c r="D1022">
        <v>3.0</v>
      </c>
      <c r="E1022" t="str">
        <f t="shared" si="1"/>
        <v>4.7</v>
      </c>
      <c r="F1022">
        <v>6.0</v>
      </c>
      <c r="G1022">
        <v>2.0</v>
      </c>
      <c r="H1022" t="str">
        <f t="shared" si="2"/>
        <v>12</v>
      </c>
      <c r="I1022">
        <v>88.0</v>
      </c>
      <c r="J1022" t="str">
        <f t="shared" si="3"/>
        <v>279.4</v>
      </c>
      <c r="K1022" t="str">
        <f t="shared" si="4"/>
        <v>852.17</v>
      </c>
      <c r="L1022" t="str">
        <f t="shared" si="5"/>
        <v>7.101416667</v>
      </c>
      <c r="M1022" t="str">
        <f t="shared" si="6"/>
        <v>305</v>
      </c>
      <c r="N1022" t="s">
        <v>182</v>
      </c>
      <c r="O1022" t="s">
        <v>1895</v>
      </c>
    </row>
    <row r="1023" ht="15.75" customHeight="1">
      <c r="A1023">
        <v>1025.0</v>
      </c>
      <c r="B1023">
        <v>66.5</v>
      </c>
      <c r="C1023">
        <v>66.5</v>
      </c>
      <c r="D1023">
        <v>3.0</v>
      </c>
      <c r="E1023" t="str">
        <f t="shared" si="1"/>
        <v>3.35</v>
      </c>
      <c r="F1023">
        <v>4.0</v>
      </c>
      <c r="G1023">
        <v>4.0</v>
      </c>
      <c r="H1023" t="str">
        <f t="shared" si="2"/>
        <v>16</v>
      </c>
      <c r="I1023">
        <v>88.0</v>
      </c>
      <c r="J1023" t="str">
        <f t="shared" si="3"/>
        <v>279.4</v>
      </c>
      <c r="K1023" t="str">
        <f t="shared" si="4"/>
        <v>824.23</v>
      </c>
      <c r="L1023" t="str">
        <f t="shared" si="5"/>
        <v>5.1514375</v>
      </c>
      <c r="M1023" t="str">
        <f t="shared" si="6"/>
        <v>295</v>
      </c>
      <c r="N1023" t="s">
        <v>187</v>
      </c>
      <c r="O1023" t="s">
        <v>1896</v>
      </c>
      <c r="P1023" t="s">
        <v>1897</v>
      </c>
    </row>
    <row r="1024" ht="15.75" customHeight="1">
      <c r="A1024">
        <v>1026.0</v>
      </c>
      <c r="B1024">
        <v>59.75</v>
      </c>
      <c r="C1024">
        <v>120.0</v>
      </c>
      <c r="D1024">
        <v>3.0</v>
      </c>
      <c r="E1024" t="str">
        <f t="shared" si="1"/>
        <v>7</v>
      </c>
      <c r="F1024">
        <v>5.0</v>
      </c>
      <c r="G1024">
        <v>3.0</v>
      </c>
      <c r="H1024" t="str">
        <f t="shared" si="2"/>
        <v>15</v>
      </c>
      <c r="I1024">
        <v>120.0</v>
      </c>
      <c r="J1024" t="str">
        <f t="shared" si="3"/>
        <v>381</v>
      </c>
      <c r="K1024" t="str">
        <f t="shared" si="4"/>
        <v>1260.1575</v>
      </c>
      <c r="L1024" t="str">
        <f t="shared" si="5"/>
        <v>8.40105</v>
      </c>
      <c r="M1024" t="str">
        <f t="shared" si="6"/>
        <v>330.75</v>
      </c>
      <c r="N1024" t="s">
        <v>182</v>
      </c>
      <c r="O1024" t="s">
        <v>1898</v>
      </c>
      <c r="P1024" s="126" t="s">
        <v>1899</v>
      </c>
    </row>
    <row r="1025" ht="15.75" customHeight="1">
      <c r="A1025">
        <v>1027.0</v>
      </c>
      <c r="B1025">
        <v>50.0</v>
      </c>
      <c r="C1025">
        <v>100.0</v>
      </c>
      <c r="D1025">
        <v>3.0</v>
      </c>
      <c r="E1025" t="str">
        <f t="shared" si="1"/>
        <v>3.716666667</v>
      </c>
      <c r="F1025">
        <v>6.0</v>
      </c>
      <c r="G1025">
        <v>3.0</v>
      </c>
      <c r="H1025" t="str">
        <f t="shared" si="2"/>
        <v>18</v>
      </c>
      <c r="I1025">
        <v>98.0</v>
      </c>
      <c r="J1025" t="str">
        <f t="shared" si="3"/>
        <v>311.15</v>
      </c>
      <c r="K1025" t="str">
        <f t="shared" si="4"/>
        <v>1042.3525</v>
      </c>
      <c r="L1025" t="str">
        <f t="shared" si="5"/>
        <v>5.790847222</v>
      </c>
      <c r="M1025" t="str">
        <f t="shared" si="6"/>
        <v>335</v>
      </c>
      <c r="N1025" t="s">
        <v>187</v>
      </c>
      <c r="O1025" t="s">
        <v>1900</v>
      </c>
    </row>
    <row r="1026" ht="15.75" customHeight="1">
      <c r="A1026">
        <v>1028.0</v>
      </c>
      <c r="B1026">
        <v>173.0</v>
      </c>
      <c r="C1026">
        <v>143.0</v>
      </c>
      <c r="D1026">
        <v>3.0</v>
      </c>
      <c r="E1026" t="str">
        <f t="shared" si="1"/>
        <v>9.4</v>
      </c>
      <c r="F1026">
        <v>1.0</v>
      </c>
      <c r="G1026">
        <v>2.0</v>
      </c>
      <c r="H1026" t="str">
        <f t="shared" si="2"/>
        <v>2</v>
      </c>
      <c r="I1026">
        <v>96.0</v>
      </c>
      <c r="J1026" t="str">
        <f t="shared" si="3"/>
        <v>304.8</v>
      </c>
      <c r="K1026" t="str">
        <f t="shared" si="4"/>
        <v>588.264</v>
      </c>
      <c r="L1026" t="str">
        <f t="shared" si="5"/>
        <v>29.4132</v>
      </c>
      <c r="M1026" t="str">
        <f t="shared" si="6"/>
        <v>193</v>
      </c>
      <c r="N1026" t="s">
        <v>187</v>
      </c>
      <c r="O1026" t="s">
        <v>1901</v>
      </c>
      <c r="P1026" t="s">
        <v>1902</v>
      </c>
    </row>
    <row r="1027" ht="15.75" customHeight="1">
      <c r="A1027">
        <v>1029.0</v>
      </c>
      <c r="B1027">
        <v>22.0</v>
      </c>
      <c r="C1027">
        <v>22.0</v>
      </c>
      <c r="D1027">
        <v>3.0</v>
      </c>
      <c r="E1027" t="str">
        <f t="shared" si="1"/>
        <v>3.4</v>
      </c>
      <c r="F1027">
        <v>13.0</v>
      </c>
      <c r="G1027">
        <v>12.0</v>
      </c>
      <c r="H1027" t="str">
        <f t="shared" si="2"/>
        <v>156</v>
      </c>
      <c r="I1027">
        <v>96.0</v>
      </c>
      <c r="J1027" t="str">
        <f t="shared" si="3"/>
        <v>304.8</v>
      </c>
      <c r="K1027" t="str">
        <f t="shared" si="4"/>
        <v>1042.416</v>
      </c>
      <c r="L1027" t="str">
        <f t="shared" si="5"/>
        <v>0.6682153846</v>
      </c>
      <c r="M1027" t="str">
        <f t="shared" si="6"/>
        <v>342</v>
      </c>
      <c r="N1027" t="s">
        <v>187</v>
      </c>
      <c r="O1027" t="s">
        <v>1903</v>
      </c>
      <c r="P1027" t="s">
        <v>1180</v>
      </c>
    </row>
    <row r="1028" ht="15.75" customHeight="1">
      <c r="A1028">
        <v>1030.0</v>
      </c>
      <c r="B1028">
        <v>295.0</v>
      </c>
      <c r="C1028">
        <v>142.0</v>
      </c>
      <c r="D1028">
        <v>3.0</v>
      </c>
      <c r="E1028" t="str">
        <f t="shared" si="1"/>
        <v>10.4</v>
      </c>
      <c r="F1028">
        <v>2.0</v>
      </c>
      <c r="G1028">
        <v>2.0</v>
      </c>
      <c r="H1028" t="str">
        <f t="shared" si="2"/>
        <v>4</v>
      </c>
      <c r="I1028">
        <v>96.0</v>
      </c>
      <c r="J1028" t="str">
        <f t="shared" si="3"/>
        <v>304.8</v>
      </c>
      <c r="K1028" t="str">
        <f t="shared" si="4"/>
        <v>1868.424</v>
      </c>
      <c r="L1028" t="str">
        <f t="shared" si="5"/>
        <v>46.7106</v>
      </c>
      <c r="M1028" t="str">
        <f t="shared" si="6"/>
        <v>613</v>
      </c>
      <c r="N1028" t="s">
        <v>182</v>
      </c>
      <c r="O1028" t="s">
        <v>1904</v>
      </c>
      <c r="P1028" t="s">
        <v>1796</v>
      </c>
    </row>
    <row r="1029" ht="15.75" customHeight="1">
      <c r="A1029">
        <v>1031.0</v>
      </c>
      <c r="B1029">
        <v>34.0</v>
      </c>
      <c r="C1029">
        <v>68.0</v>
      </c>
      <c r="D1029">
        <v>3.0</v>
      </c>
      <c r="E1029" t="str">
        <f t="shared" si="1"/>
        <v>20.9</v>
      </c>
      <c r="F1029">
        <v>9.0</v>
      </c>
      <c r="G1029">
        <v>3.0</v>
      </c>
      <c r="H1029" t="str">
        <f t="shared" si="2"/>
        <v>27</v>
      </c>
      <c r="I1029">
        <v>84.0</v>
      </c>
      <c r="J1029" t="str">
        <f t="shared" si="3"/>
        <v>266.7</v>
      </c>
      <c r="K1029" t="str">
        <f t="shared" si="4"/>
        <v>933.45</v>
      </c>
      <c r="L1029" t="str">
        <f t="shared" si="5"/>
        <v>3.457222222</v>
      </c>
      <c r="M1029" t="str">
        <f t="shared" si="6"/>
        <v>350</v>
      </c>
      <c r="N1029" t="s">
        <v>187</v>
      </c>
      <c r="O1029" t="s">
        <v>1905</v>
      </c>
      <c r="P1029" t="s">
        <v>1809</v>
      </c>
    </row>
    <row r="1030" ht="15.75" customHeight="1">
      <c r="A1030">
        <v>1032.0</v>
      </c>
      <c r="B1030">
        <v>70.0</v>
      </c>
      <c r="C1030">
        <v>224.0</v>
      </c>
      <c r="D1030">
        <v>3.0</v>
      </c>
      <c r="E1030" t="str">
        <f t="shared" si="1"/>
        <v>3.0125</v>
      </c>
      <c r="F1030">
        <v>5.0</v>
      </c>
      <c r="G1030">
        <v>2.0</v>
      </c>
      <c r="H1030" t="str">
        <f t="shared" si="2"/>
        <v>10</v>
      </c>
      <c r="I1030">
        <v>143.0</v>
      </c>
      <c r="J1030" t="str">
        <f t="shared" si="3"/>
        <v>454.025</v>
      </c>
      <c r="K1030" t="str">
        <f t="shared" si="4"/>
        <v>1734.3755</v>
      </c>
      <c r="L1030" t="str">
        <f t="shared" si="5"/>
        <v>17.343755</v>
      </c>
      <c r="M1030" t="str">
        <f t="shared" si="6"/>
        <v>382</v>
      </c>
      <c r="N1030" t="s">
        <v>187</v>
      </c>
      <c r="O1030" t="s">
        <v>1906</v>
      </c>
    </row>
    <row r="1031" ht="15.75" customHeight="1">
      <c r="A1031">
        <v>1033.0</v>
      </c>
      <c r="B1031">
        <v>115.0</v>
      </c>
      <c r="C1031">
        <v>80.0</v>
      </c>
      <c r="D1031">
        <v>5.0</v>
      </c>
      <c r="E1031" t="str">
        <f t="shared" si="1"/>
        <v>3.34375</v>
      </c>
      <c r="F1031">
        <v>2.0</v>
      </c>
      <c r="G1031">
        <v>4.0</v>
      </c>
      <c r="H1031" t="str">
        <f t="shared" si="2"/>
        <v>8</v>
      </c>
      <c r="I1031">
        <v>105.0</v>
      </c>
      <c r="J1031" t="str">
        <f t="shared" si="3"/>
        <v>333.375</v>
      </c>
      <c r="K1031" t="str">
        <f t="shared" si="4"/>
        <v>856.77375</v>
      </c>
      <c r="L1031" t="str">
        <f t="shared" si="5"/>
        <v>10.70967188</v>
      </c>
      <c r="M1031" t="str">
        <f t="shared" si="6"/>
        <v>257</v>
      </c>
      <c r="N1031" t="s">
        <v>187</v>
      </c>
      <c r="O1031" t="s">
        <v>1907</v>
      </c>
      <c r="P1031" t="s">
        <v>1838</v>
      </c>
    </row>
    <row r="1032" ht="15.75" customHeight="1">
      <c r="A1032">
        <v>1034.0</v>
      </c>
      <c r="B1032">
        <v>20.0</v>
      </c>
      <c r="C1032">
        <v>33.0</v>
      </c>
      <c r="D1032">
        <v>3.0</v>
      </c>
      <c r="E1032" t="str">
        <f t="shared" si="1"/>
        <v>2.71875</v>
      </c>
      <c r="F1032">
        <v>6.0</v>
      </c>
      <c r="G1032">
        <v>8.0</v>
      </c>
      <c r="H1032" t="str">
        <f t="shared" si="2"/>
        <v>48</v>
      </c>
      <c r="I1032">
        <v>90.0</v>
      </c>
      <c r="J1032" t="str">
        <f t="shared" si="3"/>
        <v>285.75</v>
      </c>
      <c r="K1032" t="str">
        <f t="shared" si="4"/>
        <v>442.9125</v>
      </c>
      <c r="L1032" t="str">
        <f t="shared" si="5"/>
        <v>0.922734375</v>
      </c>
      <c r="M1032" t="str">
        <f t="shared" si="6"/>
        <v>155</v>
      </c>
      <c r="N1032" t="s">
        <v>182</v>
      </c>
      <c r="O1032" t="s">
        <v>1908</v>
      </c>
    </row>
    <row r="1033" ht="15.75" customHeight="1">
      <c r="A1033">
        <v>1035.0</v>
      </c>
      <c r="B1033">
        <v>50.0</v>
      </c>
      <c r="C1033">
        <v>108.0</v>
      </c>
      <c r="D1033">
        <v>3.0</v>
      </c>
      <c r="E1033" t="str">
        <f t="shared" si="1"/>
        <v>3.125</v>
      </c>
      <c r="F1033">
        <v>6.0</v>
      </c>
      <c r="G1033">
        <v>3.0</v>
      </c>
      <c r="H1033" t="str">
        <f t="shared" si="2"/>
        <v>18</v>
      </c>
      <c r="I1033">
        <v>105.0</v>
      </c>
      <c r="J1033" t="str">
        <f t="shared" si="3"/>
        <v>333.375</v>
      </c>
      <c r="K1033" t="str">
        <f t="shared" si="4"/>
        <v>1116.80625</v>
      </c>
      <c r="L1033" t="str">
        <f t="shared" si="5"/>
        <v>6.204479167</v>
      </c>
      <c r="M1033" t="str">
        <f t="shared" si="6"/>
        <v>335</v>
      </c>
      <c r="N1033" t="s">
        <v>182</v>
      </c>
      <c r="O1033" t="s">
        <v>1909</v>
      </c>
    </row>
    <row r="1034" ht="15.75" customHeight="1">
      <c r="A1034">
        <v>1036.0</v>
      </c>
      <c r="B1034">
        <v>63.0</v>
      </c>
      <c r="C1034">
        <v>120.0</v>
      </c>
      <c r="D1034">
        <v>3.0</v>
      </c>
      <c r="E1034" t="str">
        <f t="shared" si="1"/>
        <v>7</v>
      </c>
      <c r="F1034">
        <v>4.0</v>
      </c>
      <c r="G1034">
        <v>3.0</v>
      </c>
      <c r="H1034" t="str">
        <f t="shared" si="2"/>
        <v>12</v>
      </c>
      <c r="I1034">
        <v>120.0</v>
      </c>
      <c r="J1034" t="str">
        <f t="shared" si="3"/>
        <v>381</v>
      </c>
      <c r="K1034" t="str">
        <f t="shared" si="4"/>
        <v>1070.61</v>
      </c>
      <c r="L1034" t="str">
        <f t="shared" si="5"/>
        <v>8.92175</v>
      </c>
      <c r="M1034" t="str">
        <f t="shared" si="6"/>
        <v>281</v>
      </c>
      <c r="N1034" t="s">
        <v>187</v>
      </c>
      <c r="O1034" t="s">
        <v>1910</v>
      </c>
      <c r="P1034" s="126" t="s">
        <v>1911</v>
      </c>
    </row>
    <row r="1035" ht="15.75" customHeight="1">
      <c r="A1035">
        <v>1037.0</v>
      </c>
      <c r="B1035">
        <v>65.0</v>
      </c>
      <c r="C1035">
        <v>205.0</v>
      </c>
      <c r="D1035">
        <v>3.0</v>
      </c>
      <c r="E1035" t="str">
        <f t="shared" si="1"/>
        <v>9.3125</v>
      </c>
      <c r="F1035">
        <v>4.0</v>
      </c>
      <c r="G1035">
        <v>2.0</v>
      </c>
      <c r="H1035" t="str">
        <f t="shared" si="2"/>
        <v>8</v>
      </c>
      <c r="I1035">
        <v>135.0</v>
      </c>
      <c r="J1035" t="str">
        <f t="shared" si="3"/>
        <v>428.625</v>
      </c>
      <c r="K1035" t="str">
        <f t="shared" si="4"/>
        <v>1238.72625</v>
      </c>
      <c r="L1035" t="str">
        <f t="shared" si="5"/>
        <v>15.48407813</v>
      </c>
      <c r="M1035" t="str">
        <f t="shared" si="6"/>
        <v>289</v>
      </c>
      <c r="N1035" t="s">
        <v>187</v>
      </c>
      <c r="O1035" t="s">
        <v>1912</v>
      </c>
    </row>
    <row r="1036" ht="15.75" customHeight="1">
      <c r="A1036">
        <v>1038.0</v>
      </c>
      <c r="B1036">
        <v>295.0</v>
      </c>
      <c r="C1036">
        <v>70.0</v>
      </c>
      <c r="D1036">
        <v>5.0</v>
      </c>
      <c r="E1036" t="str">
        <f t="shared" si="1"/>
        <v>6.2</v>
      </c>
      <c r="F1036">
        <v>1.0</v>
      </c>
      <c r="G1036">
        <v>4.0</v>
      </c>
      <c r="H1036" t="str">
        <f t="shared" si="2"/>
        <v>4</v>
      </c>
      <c r="I1036">
        <v>96.0</v>
      </c>
      <c r="J1036" t="str">
        <f t="shared" si="3"/>
        <v>304.8</v>
      </c>
      <c r="K1036" t="str">
        <f t="shared" si="4"/>
        <v>966.216</v>
      </c>
      <c r="L1036" t="str">
        <f t="shared" si="5"/>
        <v>24.1554</v>
      </c>
      <c r="M1036" t="str">
        <f t="shared" si="6"/>
        <v>317</v>
      </c>
      <c r="N1036" t="s">
        <v>182</v>
      </c>
      <c r="O1036" t="s">
        <v>1913</v>
      </c>
      <c r="P1036" t="s">
        <v>1914</v>
      </c>
    </row>
    <row r="1037" ht="15.75" customHeight="1">
      <c r="A1037">
        <v>1039.0</v>
      </c>
      <c r="B1037">
        <v>150.0</v>
      </c>
      <c r="C1037">
        <v>72.0</v>
      </c>
      <c r="D1037">
        <v>5.0</v>
      </c>
      <c r="E1037" t="str">
        <f t="shared" si="1"/>
        <v>4.2</v>
      </c>
      <c r="F1037">
        <v>2.0</v>
      </c>
      <c r="G1037">
        <v>4.0</v>
      </c>
      <c r="H1037" t="str">
        <f t="shared" si="2"/>
        <v>8</v>
      </c>
      <c r="I1037">
        <v>96.0</v>
      </c>
      <c r="J1037" t="str">
        <f t="shared" si="3"/>
        <v>304.8</v>
      </c>
      <c r="K1037" t="str">
        <f t="shared" si="4"/>
        <v>996.696</v>
      </c>
      <c r="L1037" t="str">
        <f t="shared" si="5"/>
        <v>12.4587</v>
      </c>
      <c r="M1037" t="str">
        <f t="shared" si="6"/>
        <v>327</v>
      </c>
      <c r="N1037" t="s">
        <v>182</v>
      </c>
      <c r="O1037" t="s">
        <v>1915</v>
      </c>
      <c r="P1037" s="126" t="s">
        <v>1826</v>
      </c>
    </row>
    <row r="1038" ht="15.75" customHeight="1">
      <c r="A1038">
        <v>1040.0</v>
      </c>
      <c r="B1038">
        <v>25.0</v>
      </c>
      <c r="C1038">
        <v>69.0</v>
      </c>
      <c r="D1038">
        <v>3.0</v>
      </c>
      <c r="E1038" t="str">
        <f t="shared" si="1"/>
        <v>2.4375</v>
      </c>
      <c r="F1038">
        <v>12.0</v>
      </c>
      <c r="G1038">
        <v>4.0</v>
      </c>
      <c r="H1038" t="str">
        <f t="shared" si="2"/>
        <v>48</v>
      </c>
      <c r="I1038">
        <v>90.0</v>
      </c>
      <c r="J1038" t="str">
        <f t="shared" si="3"/>
        <v>285.75</v>
      </c>
      <c r="K1038" t="str">
        <f t="shared" si="4"/>
        <v>1008.6975</v>
      </c>
      <c r="L1038" t="str">
        <f t="shared" si="5"/>
        <v>2.101453125</v>
      </c>
      <c r="M1038" t="str">
        <f t="shared" si="6"/>
        <v>353</v>
      </c>
      <c r="N1038" t="s">
        <v>182</v>
      </c>
      <c r="O1038" t="s">
        <v>1916</v>
      </c>
    </row>
    <row r="1039" ht="15.75" customHeight="1">
      <c r="A1039">
        <v>1041.0</v>
      </c>
      <c r="B1039">
        <v>70.0</v>
      </c>
      <c r="C1039">
        <v>30.0</v>
      </c>
      <c r="D1039">
        <v>3.0</v>
      </c>
      <c r="E1039" t="str">
        <f t="shared" si="1"/>
        <v>3.3375</v>
      </c>
      <c r="F1039">
        <v>4.0</v>
      </c>
      <c r="G1039">
        <v>8.0</v>
      </c>
      <c r="H1039" t="str">
        <f t="shared" si="2"/>
        <v>32</v>
      </c>
      <c r="I1039">
        <v>84.0</v>
      </c>
      <c r="J1039" t="str">
        <f t="shared" si="3"/>
        <v>266.7</v>
      </c>
      <c r="K1039" t="str">
        <f t="shared" si="4"/>
        <v>824.103</v>
      </c>
      <c r="L1039" t="str">
        <f t="shared" si="5"/>
        <v>2.575321875</v>
      </c>
      <c r="M1039" t="str">
        <f t="shared" si="6"/>
        <v>309</v>
      </c>
      <c r="N1039" t="s">
        <v>182</v>
      </c>
      <c r="O1039" t="s">
        <v>1917</v>
      </c>
      <c r="P1039" s="126" t="s">
        <v>1918</v>
      </c>
    </row>
    <row r="1040" ht="15.75" customHeight="1">
      <c r="A1040">
        <v>1042.0</v>
      </c>
      <c r="B1040">
        <v>40.0</v>
      </c>
      <c r="C1040">
        <v>120.0</v>
      </c>
      <c r="D1040">
        <v>3.0</v>
      </c>
      <c r="E1040" t="str">
        <f t="shared" si="1"/>
        <v>7</v>
      </c>
      <c r="F1040">
        <v>7.0</v>
      </c>
      <c r="G1040">
        <v>3.0</v>
      </c>
      <c r="H1040" t="str">
        <f t="shared" si="2"/>
        <v>21</v>
      </c>
      <c r="I1040">
        <v>120.0</v>
      </c>
      <c r="J1040" t="str">
        <f t="shared" si="3"/>
        <v>381</v>
      </c>
      <c r="K1040" t="str">
        <f t="shared" si="4"/>
        <v>1211.58</v>
      </c>
      <c r="L1040" t="str">
        <f t="shared" si="5"/>
        <v>5.769428571</v>
      </c>
      <c r="M1040" t="str">
        <f t="shared" si="6"/>
        <v>318</v>
      </c>
      <c r="N1040" t="s">
        <v>182</v>
      </c>
      <c r="O1040" t="s">
        <v>1919</v>
      </c>
    </row>
    <row r="1041" ht="15.75" customHeight="1">
      <c r="A1041">
        <v>1043.0</v>
      </c>
      <c r="B1041">
        <v>39.0</v>
      </c>
      <c r="C1041">
        <v>50.0</v>
      </c>
      <c r="D1041">
        <v>3.0</v>
      </c>
      <c r="E1041" t="str">
        <f t="shared" si="1"/>
        <v>3.34</v>
      </c>
      <c r="F1041">
        <v>6.0</v>
      </c>
      <c r="G1041">
        <v>5.0</v>
      </c>
      <c r="H1041" t="str">
        <f t="shared" si="2"/>
        <v>30</v>
      </c>
      <c r="I1041">
        <v>84.0</v>
      </c>
      <c r="J1041" t="str">
        <f t="shared" si="3"/>
        <v>266.7</v>
      </c>
      <c r="K1041" t="str">
        <f t="shared" si="4"/>
        <v>717.423</v>
      </c>
      <c r="L1041" t="str">
        <f t="shared" si="5"/>
        <v>2.39141</v>
      </c>
      <c r="M1041" t="str">
        <f t="shared" si="6"/>
        <v>269</v>
      </c>
      <c r="N1041" t="s">
        <v>182</v>
      </c>
      <c r="O1041" t="s">
        <v>1920</v>
      </c>
    </row>
    <row r="1042" ht="15.75" customHeight="1">
      <c r="A1042">
        <v>1044.0</v>
      </c>
      <c r="B1042">
        <v>28.0</v>
      </c>
      <c r="C1042">
        <v>38.0</v>
      </c>
      <c r="D1042">
        <v>3.0</v>
      </c>
      <c r="E1042" t="str">
        <f t="shared" si="1"/>
        <v>2.821428571</v>
      </c>
      <c r="F1042">
        <v>6.0</v>
      </c>
      <c r="G1042">
        <v>7.0</v>
      </c>
      <c r="H1042" t="str">
        <f t="shared" si="2"/>
        <v>42</v>
      </c>
      <c r="I1042">
        <v>90.0</v>
      </c>
      <c r="J1042" t="str">
        <f t="shared" si="3"/>
        <v>285.75</v>
      </c>
      <c r="K1042" t="str">
        <f t="shared" si="4"/>
        <v>580.0725</v>
      </c>
      <c r="L1042" t="str">
        <f t="shared" si="5"/>
        <v>1.381125</v>
      </c>
      <c r="M1042" t="str">
        <f t="shared" si="6"/>
        <v>203</v>
      </c>
      <c r="N1042" t="s">
        <v>182</v>
      </c>
      <c r="O1042" t="s">
        <v>1921</v>
      </c>
    </row>
    <row r="1043" ht="15.75" customHeight="1">
      <c r="A1043">
        <v>1045.0</v>
      </c>
      <c r="B1043">
        <v>105.0</v>
      </c>
      <c r="C1043">
        <v>45.0</v>
      </c>
      <c r="D1043">
        <v>3.0</v>
      </c>
      <c r="E1043" t="str">
        <f t="shared" si="1"/>
        <v>2.625</v>
      </c>
      <c r="F1043">
        <v>2.0</v>
      </c>
      <c r="G1043">
        <v>7.0</v>
      </c>
      <c r="H1043" t="str">
        <f t="shared" si="2"/>
        <v>14</v>
      </c>
      <c r="I1043">
        <v>105.0</v>
      </c>
      <c r="J1043" t="str">
        <f t="shared" si="3"/>
        <v>333.375</v>
      </c>
      <c r="K1043" t="str">
        <f t="shared" si="4"/>
        <v>776.76375</v>
      </c>
      <c r="L1043" t="str">
        <f t="shared" si="5"/>
        <v>5.5483125</v>
      </c>
      <c r="M1043" t="str">
        <f t="shared" si="6"/>
        <v>233</v>
      </c>
      <c r="N1043" t="s">
        <v>182</v>
      </c>
      <c r="O1043" t="s">
        <v>1922</v>
      </c>
      <c r="P1043" t="s">
        <v>1923</v>
      </c>
    </row>
    <row r="1044" ht="15.75" customHeight="1">
      <c r="A1044">
        <v>1046.0</v>
      </c>
      <c r="B1044">
        <v>130.0</v>
      </c>
      <c r="C1044">
        <v>16.203</v>
      </c>
      <c r="D1044">
        <v>1.0</v>
      </c>
      <c r="E1044" t="str">
        <f t="shared" si="1"/>
        <v>2.000333333</v>
      </c>
      <c r="F1044">
        <v>1.0</v>
      </c>
      <c r="G1044">
        <v>15.0</v>
      </c>
      <c r="H1044" t="str">
        <f t="shared" si="2"/>
        <v>15</v>
      </c>
      <c r="I1044">
        <v>86.0</v>
      </c>
      <c r="J1044" t="str">
        <f t="shared" si="3"/>
        <v>273.05</v>
      </c>
      <c r="K1044" t="str">
        <f t="shared" si="4"/>
        <v>404.114</v>
      </c>
      <c r="L1044" t="str">
        <f t="shared" si="5"/>
        <v>2.694093333</v>
      </c>
      <c r="M1044" t="str">
        <f t="shared" si="6"/>
        <v>148</v>
      </c>
      <c r="N1044" t="s">
        <v>182</v>
      </c>
      <c r="O1044" t="s">
        <v>1924</v>
      </c>
      <c r="P1044" t="s">
        <v>1925</v>
      </c>
    </row>
    <row r="1045" ht="15.75" customHeight="1">
      <c r="A1045">
        <v>1047.0</v>
      </c>
      <c r="B1045">
        <v>150.0</v>
      </c>
      <c r="C1045">
        <v>68.95</v>
      </c>
      <c r="D1045">
        <v>4.0</v>
      </c>
      <c r="E1045" t="str">
        <f t="shared" si="1"/>
        <v>2.4875</v>
      </c>
      <c r="F1045">
        <v>2.0</v>
      </c>
      <c r="G1045">
        <v>4.0</v>
      </c>
      <c r="H1045" t="str">
        <f t="shared" si="2"/>
        <v>8</v>
      </c>
      <c r="I1045">
        <v>90.0</v>
      </c>
      <c r="J1045" t="str">
        <f t="shared" si="3"/>
        <v>285.75</v>
      </c>
      <c r="K1045" t="str">
        <f t="shared" si="4"/>
        <v>928.6875</v>
      </c>
      <c r="L1045" t="str">
        <f t="shared" si="5"/>
        <v>11.60859375</v>
      </c>
      <c r="M1045" t="str">
        <f t="shared" si="6"/>
        <v>325</v>
      </c>
      <c r="N1045" t="s">
        <v>187</v>
      </c>
      <c r="O1045" t="s">
        <v>1926</v>
      </c>
      <c r="P1045" t="s">
        <v>1927</v>
      </c>
    </row>
    <row r="1046" ht="15.75" customHeight="1">
      <c r="A1046">
        <v>1048.0</v>
      </c>
      <c r="B1046">
        <v>181.0</v>
      </c>
      <c r="C1046">
        <v>57.0</v>
      </c>
      <c r="D1046">
        <v>5.0</v>
      </c>
      <c r="E1046" t="str">
        <f t="shared" si="1"/>
        <v>3.96</v>
      </c>
      <c r="F1046">
        <v>1.0</v>
      </c>
      <c r="G1046">
        <v>5.0</v>
      </c>
      <c r="H1046" t="str">
        <f t="shared" si="2"/>
        <v>5</v>
      </c>
      <c r="I1046">
        <v>96.0</v>
      </c>
      <c r="J1046" t="str">
        <f t="shared" si="3"/>
        <v>304.8</v>
      </c>
      <c r="K1046" t="str">
        <f t="shared" si="4"/>
        <v>618.744</v>
      </c>
      <c r="L1046" t="str">
        <f t="shared" si="5"/>
        <v>12.37488</v>
      </c>
      <c r="M1046" t="str">
        <f t="shared" si="6"/>
        <v>203</v>
      </c>
      <c r="N1046" t="s">
        <v>187</v>
      </c>
      <c r="O1046" t="s">
        <v>1928</v>
      </c>
      <c r="P1046" t="s">
        <v>1870</v>
      </c>
    </row>
    <row r="1047" ht="15.75" customHeight="1">
      <c r="A1047">
        <v>1049.0</v>
      </c>
      <c r="B1047">
        <v>130.0</v>
      </c>
      <c r="C1047">
        <v>24.987</v>
      </c>
      <c r="D1047">
        <v>3.0</v>
      </c>
      <c r="E1047" t="str">
        <f t="shared" si="1"/>
        <v>2.0005</v>
      </c>
      <c r="F1047">
        <v>1.0</v>
      </c>
      <c r="G1047">
        <v>12.0</v>
      </c>
      <c r="H1047" t="str">
        <f t="shared" si="2"/>
        <v>12</v>
      </c>
      <c r="I1047">
        <v>102.0</v>
      </c>
      <c r="J1047" t="str">
        <f t="shared" si="3"/>
        <v>323.85</v>
      </c>
      <c r="K1047" t="str">
        <f t="shared" si="4"/>
        <v>485.775</v>
      </c>
      <c r="L1047" t="str">
        <f t="shared" si="5"/>
        <v>4.048125</v>
      </c>
      <c r="M1047" t="str">
        <f t="shared" si="6"/>
        <v>150</v>
      </c>
      <c r="N1047" t="s">
        <v>182</v>
      </c>
      <c r="O1047" t="s">
        <v>1929</v>
      </c>
      <c r="P1047" t="s">
        <v>1930</v>
      </c>
    </row>
    <row r="1048" ht="15.75" customHeight="1">
      <c r="A1048">
        <v>1050.0</v>
      </c>
      <c r="B1048">
        <v>150.0</v>
      </c>
      <c r="C1048">
        <v>68.95</v>
      </c>
      <c r="D1048">
        <v>4.0</v>
      </c>
      <c r="E1048" t="str">
        <f t="shared" si="1"/>
        <v>2.4875</v>
      </c>
      <c r="F1048">
        <v>2.0</v>
      </c>
      <c r="G1048">
        <v>6.0</v>
      </c>
      <c r="H1048" t="str">
        <f t="shared" si="2"/>
        <v>12</v>
      </c>
      <c r="I1048">
        <v>135.0</v>
      </c>
      <c r="J1048" t="str">
        <f t="shared" si="3"/>
        <v>428.625</v>
      </c>
      <c r="K1048" t="str">
        <f t="shared" si="4"/>
        <v>1393.03125</v>
      </c>
      <c r="L1048" t="str">
        <f t="shared" si="5"/>
        <v>11.60859375</v>
      </c>
      <c r="M1048" t="str">
        <f t="shared" si="6"/>
        <v>325</v>
      </c>
      <c r="N1048" t="s">
        <v>187</v>
      </c>
      <c r="O1048" t="s">
        <v>1931</v>
      </c>
      <c r="P1048" t="s">
        <v>1927</v>
      </c>
    </row>
    <row r="1049" ht="15.75" customHeight="1">
      <c r="A1049">
        <v>1051.0</v>
      </c>
      <c r="B1049">
        <v>124.0</v>
      </c>
      <c r="C1049">
        <v>63.0</v>
      </c>
      <c r="D1049">
        <v>3.0</v>
      </c>
      <c r="E1049" t="str">
        <f t="shared" si="1"/>
        <v>3.675</v>
      </c>
      <c r="F1049">
        <v>3.0</v>
      </c>
      <c r="G1049">
        <v>5.0</v>
      </c>
      <c r="H1049" t="str">
        <f t="shared" si="2"/>
        <v>15</v>
      </c>
      <c r="I1049">
        <v>105.0</v>
      </c>
      <c r="J1049" t="str">
        <f t="shared" si="3"/>
        <v>333.375</v>
      </c>
      <c r="K1049" t="str">
        <f t="shared" si="4"/>
        <v>1326.8325</v>
      </c>
      <c r="L1049" t="str">
        <f t="shared" si="5"/>
        <v>8.84555</v>
      </c>
      <c r="M1049" t="str">
        <f t="shared" si="6"/>
        <v>398</v>
      </c>
      <c r="N1049" t="s">
        <v>187</v>
      </c>
      <c r="O1049" t="s">
        <v>1932</v>
      </c>
      <c r="P1049" t="s">
        <v>1927</v>
      </c>
    </row>
    <row r="1050" ht="15.75" customHeight="1">
      <c r="A1050">
        <v>1052.0</v>
      </c>
      <c r="B1050">
        <v>30.0</v>
      </c>
      <c r="C1050">
        <v>83.0</v>
      </c>
      <c r="D1050">
        <v>3.0</v>
      </c>
      <c r="E1050" t="str">
        <f t="shared" si="1"/>
        <v>2.725</v>
      </c>
      <c r="F1050">
        <v>10.0</v>
      </c>
      <c r="G1050">
        <v>4.0</v>
      </c>
      <c r="H1050" t="str">
        <f t="shared" si="2"/>
        <v>40</v>
      </c>
      <c r="I1050">
        <v>108.0</v>
      </c>
      <c r="J1050" t="str">
        <f t="shared" si="3"/>
        <v>342.9</v>
      </c>
      <c r="K1050" t="str">
        <f t="shared" si="4"/>
        <v>1189.863</v>
      </c>
      <c r="L1050" t="str">
        <f t="shared" si="5"/>
        <v>2.9746575</v>
      </c>
      <c r="M1050" t="str">
        <f t="shared" si="6"/>
        <v>347</v>
      </c>
      <c r="N1050" t="s">
        <v>182</v>
      </c>
      <c r="O1050" t="s">
        <v>1933</v>
      </c>
    </row>
    <row r="1051" ht="15.75" customHeight="1">
      <c r="A1051">
        <v>1053.0</v>
      </c>
      <c r="B1051">
        <v>23.0</v>
      </c>
      <c r="C1051">
        <v>55.0</v>
      </c>
      <c r="D1051">
        <v>3.0</v>
      </c>
      <c r="E1051" t="str">
        <f t="shared" si="1"/>
        <v>3.208333333</v>
      </c>
      <c r="F1051">
        <v>7.0</v>
      </c>
      <c r="G1051">
        <v>6.0</v>
      </c>
      <c r="H1051" t="str">
        <f t="shared" si="2"/>
        <v>42</v>
      </c>
      <c r="I1051">
        <v>110.0</v>
      </c>
      <c r="J1051" t="str">
        <f t="shared" si="3"/>
        <v>349.25</v>
      </c>
      <c r="K1051" t="str">
        <f t="shared" si="4"/>
        <v>695.0075</v>
      </c>
      <c r="L1051" t="str">
        <f t="shared" si="5"/>
        <v>1.654779762</v>
      </c>
      <c r="M1051" t="str">
        <f t="shared" si="6"/>
        <v>199</v>
      </c>
      <c r="N1051" t="s">
        <v>182</v>
      </c>
      <c r="O1051" t="s">
        <v>1934</v>
      </c>
    </row>
    <row r="1052" ht="15.75" customHeight="1">
      <c r="A1052">
        <v>1054.0</v>
      </c>
      <c r="B1052">
        <v>45.0</v>
      </c>
      <c r="C1052">
        <v>100.0</v>
      </c>
      <c r="D1052">
        <v>3.0</v>
      </c>
      <c r="E1052" t="str">
        <f t="shared" si="1"/>
        <v>3.716666667</v>
      </c>
      <c r="F1052">
        <v>7.0</v>
      </c>
      <c r="G1052">
        <v>3.0</v>
      </c>
      <c r="H1052" t="str">
        <f t="shared" si="2"/>
        <v>21</v>
      </c>
      <c r="I1052">
        <v>98.0</v>
      </c>
      <c r="J1052" t="str">
        <f t="shared" si="3"/>
        <v>311.15</v>
      </c>
      <c r="K1052" t="str">
        <f t="shared" si="4"/>
        <v>1098.3595</v>
      </c>
      <c r="L1052" t="str">
        <f t="shared" si="5"/>
        <v>5.230283333</v>
      </c>
      <c r="M1052" t="str">
        <f t="shared" si="6"/>
        <v>353</v>
      </c>
      <c r="N1052" t="s">
        <v>182</v>
      </c>
      <c r="O1052" t="s">
        <v>1935</v>
      </c>
    </row>
    <row r="1053" ht="15.75" customHeight="1">
      <c r="A1053">
        <v>1055.0</v>
      </c>
      <c r="B1053">
        <v>34.0</v>
      </c>
      <c r="C1053">
        <v>100.0</v>
      </c>
      <c r="D1053">
        <v>3.0</v>
      </c>
      <c r="E1053" t="str">
        <f t="shared" si="1"/>
        <v>3.716666667</v>
      </c>
      <c r="F1053">
        <v>8.0</v>
      </c>
      <c r="G1053">
        <v>3.0</v>
      </c>
      <c r="H1053" t="str">
        <f t="shared" si="2"/>
        <v>24</v>
      </c>
      <c r="I1053">
        <v>98.0</v>
      </c>
      <c r="J1053" t="str">
        <f t="shared" si="3"/>
        <v>311.15</v>
      </c>
      <c r="K1053" t="str">
        <f t="shared" si="4"/>
        <v>973.8995</v>
      </c>
      <c r="L1053" t="str">
        <f t="shared" si="5"/>
        <v>4.057914583</v>
      </c>
      <c r="M1053" t="str">
        <f t="shared" si="6"/>
        <v>313</v>
      </c>
      <c r="N1053" t="s">
        <v>182</v>
      </c>
      <c r="O1053" t="s">
        <v>1936</v>
      </c>
    </row>
    <row r="1054" ht="15.75" customHeight="1">
      <c r="A1054">
        <v>1056.0</v>
      </c>
      <c r="B1054">
        <v>44.0</v>
      </c>
      <c r="C1054">
        <v>197.0</v>
      </c>
      <c r="D1054">
        <v>3.0</v>
      </c>
      <c r="E1054" t="str">
        <f t="shared" si="1"/>
        <v>3.025</v>
      </c>
      <c r="F1054">
        <v>8.0</v>
      </c>
      <c r="G1054">
        <v>2.0</v>
      </c>
      <c r="H1054" t="str">
        <f t="shared" si="2"/>
        <v>16</v>
      </c>
      <c r="I1054">
        <v>126.0</v>
      </c>
      <c r="J1054" t="str">
        <f t="shared" si="3"/>
        <v>400.05</v>
      </c>
      <c r="K1054" t="str">
        <f t="shared" si="4"/>
        <v>1572.1965</v>
      </c>
      <c r="L1054" t="str">
        <f t="shared" si="5"/>
        <v>9.826228125</v>
      </c>
      <c r="M1054" t="str">
        <f t="shared" si="6"/>
        <v>393</v>
      </c>
      <c r="N1054" t="s">
        <v>187</v>
      </c>
      <c r="O1054" t="s">
        <v>1937</v>
      </c>
      <c r="P1054" t="s">
        <v>1809</v>
      </c>
    </row>
    <row r="1055" ht="15.75" customHeight="1">
      <c r="A1055">
        <v>1057.0</v>
      </c>
      <c r="B1055">
        <v>45.0</v>
      </c>
      <c r="C1055">
        <v>140.0</v>
      </c>
      <c r="D1055">
        <v>3.0</v>
      </c>
      <c r="E1055" t="str">
        <f t="shared" si="1"/>
        <v>2.875</v>
      </c>
      <c r="F1055">
        <v>7.0</v>
      </c>
      <c r="G1055">
        <v>2.0</v>
      </c>
      <c r="H1055" t="str">
        <f t="shared" si="2"/>
        <v>14</v>
      </c>
      <c r="I1055">
        <v>90.0</v>
      </c>
      <c r="J1055" t="str">
        <f t="shared" si="3"/>
        <v>285.75</v>
      </c>
      <c r="K1055" t="str">
        <f t="shared" si="4"/>
        <v>1008.6975</v>
      </c>
      <c r="L1055" t="str">
        <f t="shared" si="5"/>
        <v>7.204982143</v>
      </c>
      <c r="M1055" t="str">
        <f t="shared" si="6"/>
        <v>353</v>
      </c>
      <c r="N1055" t="s">
        <v>182</v>
      </c>
      <c r="O1055" t="s">
        <v>1938</v>
      </c>
    </row>
    <row r="1056" ht="15.75" customHeight="1">
      <c r="A1056">
        <v>1058.0</v>
      </c>
      <c r="B1056">
        <v>75.0</v>
      </c>
      <c r="C1056">
        <v>180.0</v>
      </c>
      <c r="D1056">
        <v>3.0</v>
      </c>
      <c r="E1056" t="str">
        <f t="shared" si="1"/>
        <v>6.266666667</v>
      </c>
      <c r="F1056">
        <v>5.0</v>
      </c>
      <c r="G1056">
        <v>3.0</v>
      </c>
      <c r="H1056" t="str">
        <f t="shared" si="2"/>
        <v>15</v>
      </c>
      <c r="I1056">
        <v>176.0</v>
      </c>
      <c r="J1056" t="str">
        <f t="shared" si="3"/>
        <v>558.8</v>
      </c>
      <c r="K1056" t="str">
        <f t="shared" si="4"/>
        <v>2274.316</v>
      </c>
      <c r="L1056" t="str">
        <f t="shared" si="5"/>
        <v>15.16210667</v>
      </c>
      <c r="M1056" t="str">
        <f t="shared" si="6"/>
        <v>407</v>
      </c>
      <c r="N1056" t="s">
        <v>182</v>
      </c>
      <c r="O1056" t="s">
        <v>1939</v>
      </c>
      <c r="P1056" t="s">
        <v>1940</v>
      </c>
    </row>
    <row r="1057" ht="15.75" customHeight="1">
      <c r="A1057">
        <v>1059.0</v>
      </c>
      <c r="B1057">
        <v>60.0</v>
      </c>
      <c r="C1057">
        <v>45.0</v>
      </c>
      <c r="D1057">
        <v>3.0</v>
      </c>
      <c r="E1057" t="str">
        <f t="shared" si="1"/>
        <v>2.625</v>
      </c>
      <c r="F1057">
        <v>5.0</v>
      </c>
      <c r="G1057">
        <v>6.0</v>
      </c>
      <c r="H1057" t="str">
        <f t="shared" si="2"/>
        <v>30</v>
      </c>
      <c r="I1057">
        <v>90.0</v>
      </c>
      <c r="J1057" t="str">
        <f t="shared" si="3"/>
        <v>285.75</v>
      </c>
      <c r="K1057" t="str">
        <f t="shared" si="4"/>
        <v>948.69</v>
      </c>
      <c r="L1057" t="str">
        <f t="shared" si="5"/>
        <v>3.1623</v>
      </c>
      <c r="M1057" t="str">
        <f t="shared" si="6"/>
        <v>332</v>
      </c>
      <c r="N1057" t="s">
        <v>182</v>
      </c>
      <c r="O1057" t="s">
        <v>1941</v>
      </c>
    </row>
    <row r="1058" ht="15.75" customHeight="1">
      <c r="A1058">
        <v>1060.0</v>
      </c>
      <c r="B1058">
        <v>50.0</v>
      </c>
      <c r="C1058">
        <v>30.0</v>
      </c>
      <c r="D1058">
        <v>3.0</v>
      </c>
      <c r="E1058" t="str">
        <f t="shared" si="1"/>
        <v>3.3375</v>
      </c>
      <c r="F1058">
        <v>6.0</v>
      </c>
      <c r="G1058">
        <v>8.0</v>
      </c>
      <c r="H1058" t="str">
        <f t="shared" si="2"/>
        <v>48</v>
      </c>
      <c r="I1058">
        <v>84.0</v>
      </c>
      <c r="J1058" t="str">
        <f t="shared" si="3"/>
        <v>266.7</v>
      </c>
      <c r="K1058" t="str">
        <f t="shared" si="4"/>
        <v>893.445</v>
      </c>
      <c r="L1058" t="str">
        <f t="shared" si="5"/>
        <v>1.86134375</v>
      </c>
      <c r="M1058" t="str">
        <f t="shared" si="6"/>
        <v>335</v>
      </c>
      <c r="N1058" t="s">
        <v>182</v>
      </c>
      <c r="O1058" t="s">
        <v>1942</v>
      </c>
    </row>
    <row r="1059" ht="15.75" customHeight="1">
      <c r="A1059">
        <v>1061.0</v>
      </c>
      <c r="B1059">
        <v>15.0</v>
      </c>
      <c r="C1059">
        <v>25.0</v>
      </c>
      <c r="D1059">
        <v>3.0</v>
      </c>
      <c r="E1059" t="str">
        <f t="shared" si="1"/>
        <v>2.94</v>
      </c>
      <c r="F1059">
        <v>15.0</v>
      </c>
      <c r="G1059">
        <v>10.0</v>
      </c>
      <c r="H1059" t="str">
        <f t="shared" si="2"/>
        <v>150</v>
      </c>
      <c r="I1059">
        <v>88.0</v>
      </c>
      <c r="J1059" t="str">
        <f t="shared" si="3"/>
        <v>279.4</v>
      </c>
      <c r="K1059" t="str">
        <f t="shared" si="4"/>
        <v>801.878</v>
      </c>
      <c r="L1059" t="str">
        <f t="shared" si="5"/>
        <v>0.5345853333</v>
      </c>
      <c r="M1059" t="str">
        <f t="shared" si="6"/>
        <v>287</v>
      </c>
      <c r="N1059" t="s">
        <v>182</v>
      </c>
      <c r="O1059" t="s">
        <v>1943</v>
      </c>
    </row>
    <row r="1060" ht="15.75" customHeight="1">
      <c r="A1060">
        <v>1062.0</v>
      </c>
      <c r="B1060">
        <v>20.0</v>
      </c>
      <c r="C1060">
        <v>27.0</v>
      </c>
      <c r="D1060">
        <v>3.0</v>
      </c>
      <c r="E1060" t="str">
        <f t="shared" si="1"/>
        <v>3.338888889</v>
      </c>
      <c r="F1060">
        <v>12.0</v>
      </c>
      <c r="G1060">
        <v>9.0</v>
      </c>
      <c r="H1060" t="str">
        <f t="shared" si="2"/>
        <v>108</v>
      </c>
      <c r="I1060">
        <v>86.0</v>
      </c>
      <c r="J1060" t="str">
        <f t="shared" si="3"/>
        <v>273.05</v>
      </c>
      <c r="K1060" t="str">
        <f t="shared" si="4"/>
        <v>800.0365</v>
      </c>
      <c r="L1060" t="str">
        <f t="shared" si="5"/>
        <v>0.740774537</v>
      </c>
      <c r="M1060" t="str">
        <f t="shared" si="6"/>
        <v>293</v>
      </c>
      <c r="N1060" t="s">
        <v>182</v>
      </c>
      <c r="O1060" t="s">
        <v>1944</v>
      </c>
    </row>
    <row r="1061" ht="15.75" customHeight="1">
      <c r="A1061">
        <v>1063.0</v>
      </c>
      <c r="B1061">
        <v>127.0</v>
      </c>
      <c r="C1061">
        <v>105.0</v>
      </c>
      <c r="D1061">
        <v>4.0</v>
      </c>
      <c r="E1061" t="str">
        <f t="shared" si="1"/>
        <v>2.95</v>
      </c>
      <c r="F1061">
        <v>2.0</v>
      </c>
      <c r="G1061">
        <v>3.0</v>
      </c>
      <c r="H1061" t="str">
        <f t="shared" si="2"/>
        <v>6</v>
      </c>
      <c r="I1061">
        <v>102.0</v>
      </c>
      <c r="J1061" t="str">
        <f t="shared" si="3"/>
        <v>323.85</v>
      </c>
      <c r="K1061" t="str">
        <f t="shared" si="4"/>
        <v>903.5415</v>
      </c>
      <c r="L1061" t="str">
        <f t="shared" si="5"/>
        <v>15.059025</v>
      </c>
      <c r="M1061" t="str">
        <f t="shared" si="6"/>
        <v>279</v>
      </c>
      <c r="N1061" t="s">
        <v>182</v>
      </c>
      <c r="O1061" t="s">
        <v>1945</v>
      </c>
      <c r="P1061" t="s">
        <v>1946</v>
      </c>
    </row>
    <row r="1062" ht="15.75" customHeight="1">
      <c r="A1062">
        <v>1064.0</v>
      </c>
      <c r="B1062">
        <v>30.0</v>
      </c>
      <c r="C1062">
        <v>58.0</v>
      </c>
      <c r="D1062">
        <v>3.0</v>
      </c>
      <c r="E1062" t="str">
        <f t="shared" si="1"/>
        <v>2.96</v>
      </c>
      <c r="F1062">
        <v>9.0</v>
      </c>
      <c r="G1062">
        <v>5.0</v>
      </c>
      <c r="H1062" t="str">
        <f t="shared" si="2"/>
        <v>45</v>
      </c>
      <c r="I1062">
        <v>96.0</v>
      </c>
      <c r="J1062" t="str">
        <f t="shared" si="3"/>
        <v>304.8</v>
      </c>
      <c r="K1062" t="str">
        <f t="shared" si="4"/>
        <v>957.072</v>
      </c>
      <c r="L1062" t="str">
        <f t="shared" si="5"/>
        <v>2.126826667</v>
      </c>
      <c r="M1062" t="str">
        <f t="shared" si="6"/>
        <v>314</v>
      </c>
      <c r="N1062" t="s">
        <v>182</v>
      </c>
      <c r="O1062" t="s">
        <v>1947</v>
      </c>
      <c r="P1062" t="s">
        <v>1948</v>
      </c>
    </row>
    <row r="1063" ht="15.75" customHeight="1">
      <c r="A1063">
        <v>1065.0</v>
      </c>
      <c r="B1063">
        <v>100.0</v>
      </c>
      <c r="C1063">
        <v>37.5</v>
      </c>
      <c r="D1063">
        <v>3.0</v>
      </c>
      <c r="E1063" t="str">
        <f t="shared" si="1"/>
        <v>2.414285714</v>
      </c>
      <c r="F1063">
        <v>3.0</v>
      </c>
      <c r="G1063">
        <v>7.0</v>
      </c>
      <c r="H1063" t="str">
        <f t="shared" si="2"/>
        <v>21</v>
      </c>
      <c r="I1063">
        <v>88.0</v>
      </c>
      <c r="J1063" t="str">
        <f t="shared" si="3"/>
        <v>279.4</v>
      </c>
      <c r="K1063" t="str">
        <f t="shared" si="4"/>
        <v>910.844</v>
      </c>
      <c r="L1063" t="str">
        <f t="shared" si="5"/>
        <v>4.337352381</v>
      </c>
      <c r="M1063" t="str">
        <f t="shared" si="6"/>
        <v>326</v>
      </c>
      <c r="N1063" t="s">
        <v>182</v>
      </c>
      <c r="O1063" t="s">
        <v>1949</v>
      </c>
    </row>
    <row r="1064" ht="15.75" customHeight="1">
      <c r="A1064">
        <v>1066.0</v>
      </c>
      <c r="B1064">
        <v>20.0</v>
      </c>
      <c r="C1064">
        <v>64.0</v>
      </c>
      <c r="D1064">
        <v>3.0</v>
      </c>
      <c r="E1064" t="str">
        <f t="shared" si="1"/>
        <v>2.675</v>
      </c>
      <c r="F1064">
        <v>12.0</v>
      </c>
      <c r="G1064">
        <v>4.0</v>
      </c>
      <c r="H1064" t="str">
        <f t="shared" si="2"/>
        <v>48</v>
      </c>
      <c r="I1064">
        <v>84.0</v>
      </c>
      <c r="J1064" t="str">
        <f t="shared" si="3"/>
        <v>266.7</v>
      </c>
      <c r="K1064" t="str">
        <f t="shared" si="4"/>
        <v>781.431</v>
      </c>
      <c r="L1064" t="str">
        <f t="shared" si="5"/>
        <v>1.62798125</v>
      </c>
      <c r="M1064" t="str">
        <f t="shared" si="6"/>
        <v>293</v>
      </c>
      <c r="N1064" t="s">
        <v>182</v>
      </c>
      <c r="O1064" t="s">
        <v>1950</v>
      </c>
    </row>
    <row r="1065" ht="15.75" customHeight="1">
      <c r="A1065">
        <v>1067.0</v>
      </c>
      <c r="B1065">
        <v>97.0</v>
      </c>
      <c r="C1065">
        <v>75.0</v>
      </c>
      <c r="D1065">
        <v>4.0</v>
      </c>
      <c r="E1065" t="str">
        <f t="shared" si="1"/>
        <v>2.7875</v>
      </c>
      <c r="F1065">
        <v>4.0</v>
      </c>
      <c r="G1065">
        <v>4.0</v>
      </c>
      <c r="H1065" t="str">
        <f t="shared" si="2"/>
        <v>16</v>
      </c>
      <c r="I1065">
        <v>98.0</v>
      </c>
      <c r="J1065" t="str">
        <f t="shared" si="3"/>
        <v>311.15</v>
      </c>
      <c r="K1065" t="str">
        <f t="shared" si="4"/>
        <v>1309.9415</v>
      </c>
      <c r="L1065" t="str">
        <f t="shared" si="5"/>
        <v>8.187134375</v>
      </c>
      <c r="M1065" t="str">
        <f t="shared" si="6"/>
        <v>421</v>
      </c>
      <c r="N1065" t="s">
        <v>182</v>
      </c>
      <c r="O1065" t="s">
        <v>1951</v>
      </c>
      <c r="P1065" t="s">
        <v>1952</v>
      </c>
    </row>
    <row r="1066" ht="15.75" customHeight="1">
      <c r="A1066">
        <v>1068.0</v>
      </c>
      <c r="B1066">
        <v>65.0</v>
      </c>
      <c r="C1066">
        <v>37.0</v>
      </c>
      <c r="D1066">
        <v>3.0</v>
      </c>
      <c r="E1066" t="str">
        <f t="shared" si="1"/>
        <v>2.914285714</v>
      </c>
      <c r="F1066">
        <v>4.0</v>
      </c>
      <c r="G1066">
        <v>7.0</v>
      </c>
      <c r="H1066" t="str">
        <f t="shared" si="2"/>
        <v>28</v>
      </c>
      <c r="I1066">
        <v>88.0</v>
      </c>
      <c r="J1066" t="str">
        <f t="shared" si="3"/>
        <v>279.4</v>
      </c>
      <c r="K1066" t="str">
        <f t="shared" si="4"/>
        <v>807.466</v>
      </c>
      <c r="L1066" t="str">
        <f t="shared" si="5"/>
        <v>2.883807143</v>
      </c>
      <c r="M1066" t="str">
        <f t="shared" si="6"/>
        <v>289</v>
      </c>
      <c r="N1066" t="s">
        <v>182</v>
      </c>
      <c r="O1066" t="s">
        <v>1953</v>
      </c>
      <c r="P1066" t="s">
        <v>1954</v>
      </c>
    </row>
    <row r="1067" ht="15.75" customHeight="1">
      <c r="A1067">
        <v>1069.0</v>
      </c>
      <c r="B1067">
        <v>80.0</v>
      </c>
      <c r="C1067">
        <v>235.0</v>
      </c>
      <c r="D1067">
        <v>4.0</v>
      </c>
      <c r="E1067" t="str">
        <f t="shared" si="1"/>
        <v>7.8875</v>
      </c>
      <c r="F1067">
        <v>4.0</v>
      </c>
      <c r="G1067">
        <v>2.0</v>
      </c>
      <c r="H1067" t="str">
        <f t="shared" si="2"/>
        <v>8</v>
      </c>
      <c r="I1067">
        <v>153.0</v>
      </c>
      <c r="J1067" t="str">
        <f t="shared" si="3"/>
        <v>485.775</v>
      </c>
      <c r="K1067" t="str">
        <f t="shared" si="4"/>
        <v>1714.78575</v>
      </c>
      <c r="L1067" t="str">
        <f t="shared" si="5"/>
        <v>21.43482188</v>
      </c>
      <c r="M1067" t="str">
        <f t="shared" si="6"/>
        <v>353</v>
      </c>
      <c r="N1067" t="s">
        <v>182</v>
      </c>
      <c r="O1067" t="s">
        <v>1955</v>
      </c>
    </row>
    <row r="1068" ht="15.75" customHeight="1">
      <c r="A1068">
        <v>1070.0</v>
      </c>
      <c r="B1068">
        <v>22.0</v>
      </c>
      <c r="C1068">
        <v>22.0</v>
      </c>
      <c r="D1068">
        <v>3.0</v>
      </c>
      <c r="E1068" t="str">
        <f t="shared" si="1"/>
        <v>3.4</v>
      </c>
      <c r="F1068">
        <v>13.0</v>
      </c>
      <c r="G1068">
        <v>12.0</v>
      </c>
      <c r="H1068" t="str">
        <f t="shared" si="2"/>
        <v>156</v>
      </c>
      <c r="I1068">
        <v>96.0</v>
      </c>
      <c r="J1068" t="str">
        <f t="shared" si="3"/>
        <v>304.8</v>
      </c>
      <c r="K1068" t="str">
        <f t="shared" si="4"/>
        <v>1042.416</v>
      </c>
      <c r="L1068" t="str">
        <f t="shared" si="5"/>
        <v>0.6682153846</v>
      </c>
      <c r="M1068" t="str">
        <f t="shared" si="6"/>
        <v>342</v>
      </c>
      <c r="N1068" t="s">
        <v>182</v>
      </c>
      <c r="O1068" t="s">
        <v>1956</v>
      </c>
      <c r="P1068" t="s">
        <v>1180</v>
      </c>
    </row>
    <row r="1069" ht="15.75" customHeight="1">
      <c r="A1069">
        <v>1071.0</v>
      </c>
      <c r="B1069">
        <v>275.0</v>
      </c>
      <c r="C1069">
        <v>149.0</v>
      </c>
      <c r="D1069">
        <v>3.0</v>
      </c>
      <c r="E1069" t="str">
        <f t="shared" si="1"/>
        <v>3.4</v>
      </c>
      <c r="F1069">
        <v>1.0</v>
      </c>
      <c r="G1069">
        <v>2.0</v>
      </c>
      <c r="H1069" t="str">
        <f t="shared" si="2"/>
        <v>2</v>
      </c>
      <c r="I1069">
        <v>96.0</v>
      </c>
      <c r="J1069" t="str">
        <f t="shared" si="3"/>
        <v>304.8</v>
      </c>
      <c r="K1069" t="str">
        <f t="shared" si="4"/>
        <v>899.16</v>
      </c>
      <c r="L1069" t="str">
        <f t="shared" si="5"/>
        <v>44.958</v>
      </c>
      <c r="M1069" t="str">
        <f t="shared" si="6"/>
        <v>295</v>
      </c>
      <c r="N1069" t="s">
        <v>182</v>
      </c>
      <c r="O1069" t="s">
        <v>1957</v>
      </c>
      <c r="P1069" s="126" t="s">
        <v>1958</v>
      </c>
    </row>
    <row r="1070" ht="15.75" customHeight="1">
      <c r="A1070">
        <v>1072.0</v>
      </c>
      <c r="B1070">
        <v>161.0</v>
      </c>
      <c r="C1070">
        <v>56.0</v>
      </c>
      <c r="D1070">
        <v>3.0</v>
      </c>
      <c r="E1070" t="str">
        <f t="shared" si="1"/>
        <v>4.96</v>
      </c>
      <c r="F1070">
        <v>2.0</v>
      </c>
      <c r="G1070">
        <v>5.0</v>
      </c>
      <c r="H1070" t="str">
        <f t="shared" si="2"/>
        <v>10</v>
      </c>
      <c r="I1070">
        <v>96.0</v>
      </c>
      <c r="J1070" t="str">
        <f t="shared" si="3"/>
        <v>304.8</v>
      </c>
      <c r="K1070" t="str">
        <f t="shared" si="4"/>
        <v>1051.56</v>
      </c>
      <c r="L1070" t="str">
        <f t="shared" si="5"/>
        <v>10.5156</v>
      </c>
      <c r="M1070" t="str">
        <f t="shared" si="6"/>
        <v>345</v>
      </c>
      <c r="N1070" t="s">
        <v>182</v>
      </c>
      <c r="O1070" t="s">
        <v>1959</v>
      </c>
      <c r="P1070" s="126" t="s">
        <v>1960</v>
      </c>
    </row>
    <row r="1071" ht="15.75" customHeight="1">
      <c r="A1071">
        <v>1073.0</v>
      </c>
      <c r="B1071">
        <v>150.0</v>
      </c>
      <c r="C1071">
        <v>135.0</v>
      </c>
      <c r="D1071">
        <v>3.0</v>
      </c>
      <c r="E1071" t="str">
        <f t="shared" si="1"/>
        <v>4.7</v>
      </c>
      <c r="F1071">
        <v>2.0</v>
      </c>
      <c r="G1071">
        <v>2.0</v>
      </c>
      <c r="H1071" t="str">
        <f t="shared" si="2"/>
        <v>4</v>
      </c>
      <c r="I1071">
        <v>88.0</v>
      </c>
      <c r="J1071" t="str">
        <f t="shared" si="3"/>
        <v>279.4</v>
      </c>
      <c r="K1071" t="str">
        <f t="shared" si="4"/>
        <v>902.462</v>
      </c>
      <c r="L1071" t="str">
        <f t="shared" si="5"/>
        <v>22.56155</v>
      </c>
      <c r="M1071" t="str">
        <f t="shared" si="6"/>
        <v>323</v>
      </c>
      <c r="N1071" t="s">
        <v>182</v>
      </c>
      <c r="O1071" t="s">
        <v>1961</v>
      </c>
    </row>
    <row r="1072" ht="15.75" customHeight="1">
      <c r="A1072">
        <v>1074.0</v>
      </c>
      <c r="B1072">
        <v>100.0</v>
      </c>
      <c r="C1072">
        <v>60.0</v>
      </c>
      <c r="D1072">
        <v>3.0</v>
      </c>
      <c r="E1072" t="str">
        <f t="shared" si="1"/>
        <v>3.5</v>
      </c>
      <c r="F1072">
        <v>2.0</v>
      </c>
      <c r="G1072">
        <v>6.0</v>
      </c>
      <c r="H1072" t="str">
        <f t="shared" si="2"/>
        <v>12</v>
      </c>
      <c r="I1072">
        <v>120.0</v>
      </c>
      <c r="J1072" t="str">
        <f t="shared" si="3"/>
        <v>381</v>
      </c>
      <c r="K1072" t="str">
        <f t="shared" si="4"/>
        <v>849.63</v>
      </c>
      <c r="L1072" t="str">
        <f t="shared" si="5"/>
        <v>7.08025</v>
      </c>
      <c r="M1072" t="str">
        <f t="shared" si="6"/>
        <v>223</v>
      </c>
      <c r="N1072" t="s">
        <v>182</v>
      </c>
      <c r="O1072" t="s">
        <v>1962</v>
      </c>
      <c r="P1072" t="s">
        <v>1963</v>
      </c>
    </row>
    <row r="1073" ht="15.75" customHeight="1">
      <c r="A1073">
        <v>1075.0</v>
      </c>
      <c r="B1073">
        <v>90.0</v>
      </c>
      <c r="C1073">
        <v>55.0</v>
      </c>
      <c r="D1073">
        <v>3.0</v>
      </c>
      <c r="E1073" t="str">
        <f t="shared" si="1"/>
        <v>3.208333333</v>
      </c>
      <c r="F1073">
        <v>2.0</v>
      </c>
      <c r="G1073">
        <v>6.0</v>
      </c>
      <c r="H1073" t="str">
        <f t="shared" si="2"/>
        <v>12</v>
      </c>
      <c r="I1073">
        <v>110.0</v>
      </c>
      <c r="J1073" t="str">
        <f t="shared" si="3"/>
        <v>349.25</v>
      </c>
      <c r="K1073" t="str">
        <f t="shared" si="4"/>
        <v>708.9775</v>
      </c>
      <c r="L1073" t="str">
        <f t="shared" si="5"/>
        <v>5.908145833</v>
      </c>
      <c r="M1073" t="str">
        <f t="shared" si="6"/>
        <v>203</v>
      </c>
      <c r="N1073" t="s">
        <v>182</v>
      </c>
      <c r="O1073" t="s">
        <v>1964</v>
      </c>
    </row>
    <row r="1074" ht="15.75" customHeight="1">
      <c r="A1074">
        <v>1076.0</v>
      </c>
      <c r="B1074">
        <v>65.0</v>
      </c>
      <c r="C1074">
        <v>35.0</v>
      </c>
      <c r="D1074">
        <v>3.0</v>
      </c>
      <c r="E1074" t="str">
        <f t="shared" si="1"/>
        <v>3.1</v>
      </c>
      <c r="F1074">
        <v>4.0</v>
      </c>
      <c r="G1074">
        <v>8.0</v>
      </c>
      <c r="H1074" t="str">
        <f t="shared" si="2"/>
        <v>32</v>
      </c>
      <c r="I1074">
        <v>96.0</v>
      </c>
      <c r="J1074" t="str">
        <f t="shared" si="3"/>
        <v>304.8</v>
      </c>
      <c r="K1074" t="str">
        <f t="shared" si="4"/>
        <v>880.872</v>
      </c>
      <c r="L1074" t="str">
        <f t="shared" si="5"/>
        <v>2.752725</v>
      </c>
      <c r="M1074" t="str">
        <f t="shared" si="6"/>
        <v>289</v>
      </c>
      <c r="N1074" t="s">
        <v>182</v>
      </c>
      <c r="O1074" t="s">
        <v>1965</v>
      </c>
    </row>
    <row r="1075" ht="15.75" customHeight="1">
      <c r="A1075">
        <v>1077.0</v>
      </c>
      <c r="B1075">
        <v>30.0</v>
      </c>
      <c r="C1075">
        <v>58.0</v>
      </c>
      <c r="D1075">
        <v>3.0</v>
      </c>
      <c r="E1075" t="str">
        <f t="shared" si="1"/>
        <v>2.96</v>
      </c>
      <c r="F1075">
        <v>9.0</v>
      </c>
      <c r="G1075">
        <v>5.0</v>
      </c>
      <c r="H1075" t="str">
        <f t="shared" si="2"/>
        <v>45</v>
      </c>
      <c r="I1075">
        <v>96.0</v>
      </c>
      <c r="J1075" t="str">
        <f t="shared" si="3"/>
        <v>304.8</v>
      </c>
      <c r="K1075" t="str">
        <f t="shared" si="4"/>
        <v>957.072</v>
      </c>
      <c r="L1075" t="str">
        <f t="shared" si="5"/>
        <v>2.126826667</v>
      </c>
      <c r="M1075" t="str">
        <f t="shared" si="6"/>
        <v>314</v>
      </c>
      <c r="N1075" t="s">
        <v>182</v>
      </c>
      <c r="O1075" t="s">
        <v>1966</v>
      </c>
      <c r="P1075" t="s">
        <v>1967</v>
      </c>
    </row>
    <row r="1076" ht="15.75" customHeight="1">
      <c r="A1076">
        <v>1078.0</v>
      </c>
      <c r="B1076">
        <v>51.5</v>
      </c>
      <c r="C1076">
        <v>73.0</v>
      </c>
      <c r="D1076">
        <v>3.0</v>
      </c>
      <c r="E1076" t="str">
        <f t="shared" si="1"/>
        <v>3.2</v>
      </c>
      <c r="F1076">
        <v>6.0</v>
      </c>
      <c r="G1076">
        <v>4.0</v>
      </c>
      <c r="H1076" t="str">
        <f t="shared" si="2"/>
        <v>24</v>
      </c>
      <c r="I1076">
        <v>96.0</v>
      </c>
      <c r="J1076" t="str">
        <f t="shared" si="3"/>
        <v>304.8</v>
      </c>
      <c r="K1076" t="str">
        <f t="shared" si="4"/>
        <v>1048.512</v>
      </c>
      <c r="L1076" t="str">
        <f t="shared" si="5"/>
        <v>4.3688</v>
      </c>
      <c r="M1076" t="str">
        <f t="shared" si="6"/>
        <v>344</v>
      </c>
      <c r="N1076" t="s">
        <v>182</v>
      </c>
      <c r="O1076" t="s">
        <v>1968</v>
      </c>
    </row>
    <row r="1077" ht="15.75" customHeight="1">
      <c r="A1077">
        <v>1079.0</v>
      </c>
      <c r="B1077">
        <v>115.0</v>
      </c>
      <c r="C1077">
        <v>115.0</v>
      </c>
      <c r="D1077">
        <v>5.0</v>
      </c>
      <c r="E1077" t="str">
        <f t="shared" si="1"/>
        <v>6.44375</v>
      </c>
      <c r="F1077">
        <v>2.0</v>
      </c>
      <c r="G1077">
        <v>4.0</v>
      </c>
      <c r="H1077" t="str">
        <f t="shared" si="2"/>
        <v>8</v>
      </c>
      <c r="I1077">
        <v>153.0</v>
      </c>
      <c r="J1077" t="str">
        <f t="shared" si="3"/>
        <v>485.775</v>
      </c>
      <c r="K1077" t="str">
        <f t="shared" si="4"/>
        <v>1248.44175</v>
      </c>
      <c r="L1077" t="str">
        <f t="shared" si="5"/>
        <v>15.60552188</v>
      </c>
      <c r="M1077" t="str">
        <f t="shared" si="6"/>
        <v>257</v>
      </c>
      <c r="N1077" t="s">
        <v>182</v>
      </c>
      <c r="O1077" t="s">
        <v>1969</v>
      </c>
      <c r="P1077" s="126" t="s">
        <v>1970</v>
      </c>
    </row>
    <row r="1078" ht="15.75" customHeight="1">
      <c r="A1078">
        <v>1080.0</v>
      </c>
      <c r="B1078">
        <v>148.5</v>
      </c>
      <c r="C1078">
        <v>52.0</v>
      </c>
      <c r="D1078">
        <v>3.0</v>
      </c>
      <c r="E1078" t="str">
        <f t="shared" si="1"/>
        <v>3.5625</v>
      </c>
      <c r="F1078">
        <v>2.0</v>
      </c>
      <c r="G1078">
        <v>6.0</v>
      </c>
      <c r="H1078" t="str">
        <f t="shared" si="2"/>
        <v>12</v>
      </c>
      <c r="I1078">
        <v>105.0</v>
      </c>
      <c r="J1078" t="str">
        <f t="shared" si="3"/>
        <v>333.375</v>
      </c>
      <c r="K1078" t="str">
        <f t="shared" si="4"/>
        <v>1066.8</v>
      </c>
      <c r="L1078" t="str">
        <f t="shared" si="5"/>
        <v>8.89</v>
      </c>
      <c r="M1078" t="str">
        <f t="shared" si="6"/>
        <v>320</v>
      </c>
      <c r="N1078" t="s">
        <v>182</v>
      </c>
      <c r="O1078" t="s">
        <v>1971</v>
      </c>
      <c r="P1078" t="s">
        <v>1972</v>
      </c>
    </row>
    <row r="1079" ht="15.75" customHeight="1">
      <c r="A1079">
        <v>1081.0</v>
      </c>
      <c r="B1079">
        <v>182.5</v>
      </c>
      <c r="C1079">
        <v>60.0</v>
      </c>
      <c r="D1079">
        <v>3.0</v>
      </c>
      <c r="E1079" t="str">
        <f t="shared" si="1"/>
        <v>3.5</v>
      </c>
      <c r="F1079">
        <v>2.0</v>
      </c>
      <c r="G1079">
        <v>6.0</v>
      </c>
      <c r="H1079" t="str">
        <f t="shared" si="2"/>
        <v>12</v>
      </c>
      <c r="I1079">
        <v>120.0</v>
      </c>
      <c r="J1079" t="str">
        <f t="shared" si="3"/>
        <v>381</v>
      </c>
      <c r="K1079" t="str">
        <f t="shared" si="4"/>
        <v>1478.28</v>
      </c>
      <c r="L1079" t="str">
        <f t="shared" si="5"/>
        <v>12.319</v>
      </c>
      <c r="M1079" t="str">
        <f t="shared" si="6"/>
        <v>388</v>
      </c>
      <c r="N1079" t="s">
        <v>182</v>
      </c>
      <c r="O1079" t="s">
        <v>1973</v>
      </c>
      <c r="P1079" t="s">
        <v>1974</v>
      </c>
    </row>
    <row r="1080" ht="15.75" customHeight="1">
      <c r="A1080">
        <v>1082.0</v>
      </c>
      <c r="B1080">
        <v>94.0</v>
      </c>
      <c r="C1080">
        <v>45.0</v>
      </c>
      <c r="D1080">
        <v>3.0</v>
      </c>
      <c r="E1080" t="str">
        <f t="shared" si="1"/>
        <v>3.985714286</v>
      </c>
      <c r="F1080">
        <v>3.0</v>
      </c>
      <c r="G1080">
        <v>7.0</v>
      </c>
      <c r="H1080" t="str">
        <f t="shared" si="2"/>
        <v>21</v>
      </c>
      <c r="I1080">
        <v>108.0</v>
      </c>
      <c r="J1080" t="str">
        <f t="shared" si="3"/>
        <v>342.9</v>
      </c>
      <c r="K1080" t="str">
        <f t="shared" si="4"/>
        <v>1056.132</v>
      </c>
      <c r="L1080" t="str">
        <f t="shared" si="5"/>
        <v>5.0292</v>
      </c>
      <c r="M1080" t="str">
        <f t="shared" si="6"/>
        <v>308</v>
      </c>
      <c r="N1080" t="s">
        <v>187</v>
      </c>
      <c r="O1080" t="s">
        <v>1975</v>
      </c>
      <c r="P1080" t="s">
        <v>1976</v>
      </c>
    </row>
    <row r="1081" ht="15.75" customHeight="1">
      <c r="A1081">
        <v>1083.0</v>
      </c>
      <c r="B1081">
        <v>120.0</v>
      </c>
      <c r="C1081">
        <v>57.0</v>
      </c>
      <c r="D1081">
        <v>3.0</v>
      </c>
      <c r="E1081" t="str">
        <f t="shared" si="1"/>
        <v>3.96</v>
      </c>
      <c r="F1081">
        <v>2.0</v>
      </c>
      <c r="G1081">
        <v>5.0</v>
      </c>
      <c r="H1081" t="str">
        <f t="shared" si="2"/>
        <v>10</v>
      </c>
      <c r="I1081">
        <v>96.0</v>
      </c>
      <c r="J1081" t="str">
        <f t="shared" si="3"/>
        <v>304.8</v>
      </c>
      <c r="K1081" t="str">
        <f t="shared" si="4"/>
        <v>801.624</v>
      </c>
      <c r="L1081" t="str">
        <f t="shared" si="5"/>
        <v>8.01624</v>
      </c>
      <c r="M1081" t="str">
        <f t="shared" si="6"/>
        <v>263</v>
      </c>
      <c r="N1081" t="s">
        <v>187</v>
      </c>
      <c r="O1081" t="s">
        <v>1977</v>
      </c>
      <c r="P1081" t="s">
        <v>1978</v>
      </c>
    </row>
    <row r="1082" ht="15.75" customHeight="1">
      <c r="A1082">
        <v>1084.0</v>
      </c>
      <c r="B1082">
        <v>90.0</v>
      </c>
      <c r="C1082">
        <v>65.0</v>
      </c>
      <c r="D1082">
        <v>3.0</v>
      </c>
      <c r="E1082" t="str">
        <f t="shared" si="1"/>
        <v>3.2625</v>
      </c>
      <c r="F1082">
        <v>3.0</v>
      </c>
      <c r="G1082">
        <v>4.0</v>
      </c>
      <c r="H1082" t="str">
        <f t="shared" si="2"/>
        <v>12</v>
      </c>
      <c r="I1082">
        <v>86.0</v>
      </c>
      <c r="J1082" t="str">
        <f t="shared" si="3"/>
        <v>273.05</v>
      </c>
      <c r="K1082" t="str">
        <f t="shared" si="4"/>
        <v>808.228</v>
      </c>
      <c r="L1082" t="str">
        <f t="shared" si="5"/>
        <v>6.735233333</v>
      </c>
      <c r="M1082" t="str">
        <f t="shared" si="6"/>
        <v>296</v>
      </c>
      <c r="N1082" t="s">
        <v>187</v>
      </c>
      <c r="O1082" t="s">
        <v>1979</v>
      </c>
      <c r="P1082" t="s">
        <v>1980</v>
      </c>
    </row>
    <row r="1083" ht="15.75" customHeight="1">
      <c r="A1083">
        <v>1085.0</v>
      </c>
      <c r="B1083">
        <v>38.0</v>
      </c>
      <c r="C1083">
        <v>28.0</v>
      </c>
      <c r="D1083">
        <v>3.0</v>
      </c>
      <c r="E1083" t="str">
        <f t="shared" si="1"/>
        <v>3.115</v>
      </c>
      <c r="F1083">
        <v>6.0</v>
      </c>
      <c r="G1083">
        <v>10.0</v>
      </c>
      <c r="H1083" t="str">
        <f t="shared" si="2"/>
        <v>60</v>
      </c>
      <c r="I1083">
        <v>98.0</v>
      </c>
      <c r="J1083" t="str">
        <f t="shared" si="3"/>
        <v>311.15</v>
      </c>
      <c r="K1083" t="str">
        <f t="shared" si="4"/>
        <v>818.3245</v>
      </c>
      <c r="L1083" t="str">
        <f t="shared" si="5"/>
        <v>1.363874167</v>
      </c>
      <c r="M1083" t="str">
        <f t="shared" si="6"/>
        <v>263</v>
      </c>
      <c r="N1083" t="s">
        <v>182</v>
      </c>
      <c r="O1083" t="s">
        <v>1981</v>
      </c>
    </row>
    <row r="1084" ht="15.75" customHeight="1">
      <c r="A1084">
        <v>1086.0</v>
      </c>
      <c r="B1084">
        <v>80.0</v>
      </c>
      <c r="C1084">
        <v>263.0</v>
      </c>
      <c r="D1084">
        <v>3.0</v>
      </c>
      <c r="E1084" t="str">
        <f t="shared" si="1"/>
        <v>3.7</v>
      </c>
      <c r="F1084">
        <v>4.0</v>
      </c>
      <c r="G1084">
        <v>1.0</v>
      </c>
      <c r="H1084" t="str">
        <f t="shared" si="2"/>
        <v>4</v>
      </c>
      <c r="I1084">
        <v>84.0</v>
      </c>
      <c r="J1084" t="str">
        <f t="shared" si="3"/>
        <v>266.7</v>
      </c>
      <c r="K1084" t="str">
        <f t="shared" si="4"/>
        <v>930.783</v>
      </c>
      <c r="L1084" t="str">
        <f t="shared" si="5"/>
        <v>23.269575</v>
      </c>
      <c r="M1084" t="str">
        <f t="shared" si="6"/>
        <v>349</v>
      </c>
      <c r="N1084" t="s">
        <v>182</v>
      </c>
      <c r="O1084" t="s">
        <v>1982</v>
      </c>
    </row>
    <row r="1085" ht="15.75" customHeight="1">
      <c r="A1085">
        <v>1087.0</v>
      </c>
      <c r="B1085">
        <v>97.0</v>
      </c>
      <c r="C1085">
        <v>60.0</v>
      </c>
      <c r="D1085">
        <v>3.0</v>
      </c>
      <c r="E1085" t="str">
        <f t="shared" si="1"/>
        <v>3.5</v>
      </c>
      <c r="F1085">
        <v>4.0</v>
      </c>
      <c r="G1085">
        <v>6.0</v>
      </c>
      <c r="H1085" t="str">
        <f t="shared" si="2"/>
        <v>24</v>
      </c>
      <c r="I1085">
        <v>120.0</v>
      </c>
      <c r="J1085" t="str">
        <f t="shared" si="3"/>
        <v>381</v>
      </c>
      <c r="K1085" t="str">
        <f t="shared" si="4"/>
        <v>1588.77</v>
      </c>
      <c r="L1085" t="str">
        <f t="shared" si="5"/>
        <v>6.619875</v>
      </c>
      <c r="M1085" t="str">
        <f t="shared" si="6"/>
        <v>417</v>
      </c>
      <c r="N1085" t="s">
        <v>182</v>
      </c>
      <c r="O1085" t="s">
        <v>1983</v>
      </c>
    </row>
    <row r="1086" ht="15.75" customHeight="1">
      <c r="A1086">
        <v>1088.0</v>
      </c>
      <c r="B1086">
        <v>45.0</v>
      </c>
      <c r="C1086">
        <v>460.0</v>
      </c>
      <c r="D1086">
        <v>3.0</v>
      </c>
      <c r="E1086" t="str">
        <f t="shared" si="1"/>
        <v>9.9</v>
      </c>
      <c r="F1086">
        <v>5.0</v>
      </c>
      <c r="G1086">
        <v>1.0</v>
      </c>
      <c r="H1086" t="str">
        <f t="shared" si="2"/>
        <v>5</v>
      </c>
      <c r="I1086">
        <v>148.0</v>
      </c>
      <c r="J1086" t="str">
        <f t="shared" si="3"/>
        <v>469.9</v>
      </c>
      <c r="K1086" t="str">
        <f t="shared" si="4"/>
        <v>1207.643</v>
      </c>
      <c r="L1086" t="str">
        <f t="shared" si="5"/>
        <v>24.15286</v>
      </c>
      <c r="M1086" t="str">
        <f t="shared" si="6"/>
        <v>257</v>
      </c>
      <c r="N1086" t="s">
        <v>182</v>
      </c>
      <c r="O1086" t="s">
        <v>1984</v>
      </c>
    </row>
    <row r="1087" ht="15.75" customHeight="1">
      <c r="A1087">
        <v>1089.0</v>
      </c>
      <c r="B1087">
        <v>50.0</v>
      </c>
      <c r="C1087">
        <v>98.5</v>
      </c>
      <c r="D1087">
        <v>3.0</v>
      </c>
      <c r="E1087" t="str">
        <f t="shared" si="1"/>
        <v>3.1</v>
      </c>
      <c r="F1087">
        <v>6.0</v>
      </c>
      <c r="G1087">
        <v>3.0</v>
      </c>
      <c r="H1087" t="str">
        <f t="shared" si="2"/>
        <v>18</v>
      </c>
      <c r="I1087">
        <v>96.0</v>
      </c>
      <c r="J1087" t="str">
        <f t="shared" si="3"/>
        <v>304.8</v>
      </c>
      <c r="K1087" t="str">
        <f t="shared" si="4"/>
        <v>1021.08</v>
      </c>
      <c r="L1087" t="str">
        <f t="shared" si="5"/>
        <v>5.672666667</v>
      </c>
      <c r="M1087" t="str">
        <f t="shared" si="6"/>
        <v>335</v>
      </c>
      <c r="N1087" t="s">
        <v>182</v>
      </c>
      <c r="O1087" t="s">
        <v>1985</v>
      </c>
    </row>
    <row r="1088" ht="15.75" customHeight="1">
      <c r="A1088">
        <v>1090.0</v>
      </c>
      <c r="B1088">
        <v>65.0</v>
      </c>
      <c r="C1088">
        <v>270.0</v>
      </c>
      <c r="D1088">
        <v>3.0</v>
      </c>
      <c r="E1088" t="str">
        <f t="shared" si="1"/>
        <v>3.05</v>
      </c>
      <c r="F1088">
        <v>5.0</v>
      </c>
      <c r="G1088">
        <v>1.0</v>
      </c>
      <c r="H1088" t="str">
        <f t="shared" si="2"/>
        <v>5</v>
      </c>
      <c r="I1088">
        <v>86.0</v>
      </c>
      <c r="J1088" t="str">
        <f t="shared" si="3"/>
        <v>273.05</v>
      </c>
      <c r="K1088" t="str">
        <f t="shared" si="4"/>
        <v>974.7885</v>
      </c>
      <c r="L1088" t="str">
        <f t="shared" si="5"/>
        <v>19.49577</v>
      </c>
      <c r="M1088" t="str">
        <f t="shared" si="6"/>
        <v>357</v>
      </c>
      <c r="N1088" t="s">
        <v>182</v>
      </c>
      <c r="O1088" t="s">
        <v>1986</v>
      </c>
    </row>
    <row r="1089" ht="15.75" customHeight="1">
      <c r="A1089">
        <v>1091.0</v>
      </c>
      <c r="B1089">
        <v>40.0</v>
      </c>
      <c r="C1089">
        <v>200.0</v>
      </c>
      <c r="D1089">
        <v>3.0</v>
      </c>
      <c r="E1089" t="str">
        <f t="shared" si="1"/>
        <v>14.3125</v>
      </c>
      <c r="F1089">
        <v>7.0</v>
      </c>
      <c r="G1089">
        <v>2.0</v>
      </c>
      <c r="H1089" t="str">
        <f t="shared" si="2"/>
        <v>14</v>
      </c>
      <c r="I1089">
        <v>135.0</v>
      </c>
      <c r="J1089" t="str">
        <f t="shared" si="3"/>
        <v>428.625</v>
      </c>
      <c r="K1089" t="str">
        <f t="shared" si="4"/>
        <v>1363.0275</v>
      </c>
      <c r="L1089" t="str">
        <f t="shared" si="5"/>
        <v>9.735910714</v>
      </c>
      <c r="M1089" t="str">
        <f t="shared" si="6"/>
        <v>318</v>
      </c>
      <c r="N1089" t="s">
        <v>182</v>
      </c>
      <c r="O1089" t="s">
        <v>1987</v>
      </c>
    </row>
    <row r="1090" ht="15.75" customHeight="1">
      <c r="A1090">
        <v>1092.0</v>
      </c>
      <c r="B1090">
        <v>137.0</v>
      </c>
      <c r="C1090">
        <v>240.0</v>
      </c>
      <c r="D1090">
        <v>5.0</v>
      </c>
      <c r="E1090" t="str">
        <f t="shared" si="1"/>
        <v>2.8875</v>
      </c>
      <c r="F1090">
        <v>2.0</v>
      </c>
      <c r="G1090">
        <v>2.0</v>
      </c>
      <c r="H1090" t="str">
        <f t="shared" si="2"/>
        <v>4</v>
      </c>
      <c r="I1090">
        <v>153.0</v>
      </c>
      <c r="J1090" t="str">
        <f t="shared" si="3"/>
        <v>485.775</v>
      </c>
      <c r="K1090" t="str">
        <f t="shared" si="4"/>
        <v>1462.18275</v>
      </c>
      <c r="L1090" t="str">
        <f t="shared" si="5"/>
        <v>36.55456875</v>
      </c>
      <c r="M1090" t="str">
        <f t="shared" si="6"/>
        <v>301</v>
      </c>
      <c r="N1090" t="s">
        <v>182</v>
      </c>
      <c r="O1090" t="s">
        <v>1988</v>
      </c>
      <c r="P1090" t="s">
        <v>1989</v>
      </c>
    </row>
    <row r="1091" ht="15.75" customHeight="1">
      <c r="A1091">
        <v>1093.0</v>
      </c>
      <c r="B1091">
        <v>210.0</v>
      </c>
      <c r="C1091">
        <v>179.0</v>
      </c>
      <c r="D1091">
        <v>3.0</v>
      </c>
      <c r="E1091" t="str">
        <f t="shared" si="1"/>
        <v>11.5</v>
      </c>
      <c r="F1091">
        <v>1.0</v>
      </c>
      <c r="G1091">
        <v>2.0</v>
      </c>
      <c r="H1091" t="str">
        <f t="shared" si="2"/>
        <v>2</v>
      </c>
      <c r="I1091">
        <v>120.0</v>
      </c>
      <c r="J1091" t="str">
        <f t="shared" si="3"/>
        <v>381</v>
      </c>
      <c r="K1091" t="str">
        <f t="shared" si="4"/>
        <v>876.3</v>
      </c>
      <c r="L1091" t="str">
        <f t="shared" si="5"/>
        <v>43.815</v>
      </c>
      <c r="M1091" t="str">
        <f t="shared" si="6"/>
        <v>230</v>
      </c>
      <c r="N1091" t="s">
        <v>182</v>
      </c>
      <c r="O1091" t="s">
        <v>1990</v>
      </c>
      <c r="P1091" t="s">
        <v>1991</v>
      </c>
    </row>
    <row r="1092" ht="15.75" customHeight="1">
      <c r="A1092">
        <v>1094.0</v>
      </c>
      <c r="B1092">
        <v>75.0</v>
      </c>
      <c r="C1092">
        <v>111.0</v>
      </c>
      <c r="D1092">
        <v>3.0</v>
      </c>
      <c r="E1092" t="str">
        <f t="shared" si="1"/>
        <v>3.3</v>
      </c>
      <c r="F1092">
        <v>4.0</v>
      </c>
      <c r="G1092">
        <v>3.0</v>
      </c>
      <c r="H1092" t="str">
        <f t="shared" si="2"/>
        <v>12</v>
      </c>
      <c r="I1092">
        <v>108.0</v>
      </c>
      <c r="J1092" t="str">
        <f t="shared" si="3"/>
        <v>342.9</v>
      </c>
      <c r="K1092" t="str">
        <f t="shared" si="4"/>
        <v>1128.141</v>
      </c>
      <c r="L1092" t="str">
        <f t="shared" si="5"/>
        <v>9.401175</v>
      </c>
      <c r="M1092" t="str">
        <f t="shared" si="6"/>
        <v>329</v>
      </c>
      <c r="N1092" t="s">
        <v>182</v>
      </c>
      <c r="O1092" t="s">
        <v>1992</v>
      </c>
      <c r="P1092" t="s">
        <v>1993</v>
      </c>
    </row>
    <row r="1093" ht="15.75" customHeight="1">
      <c r="A1093">
        <v>1095.0</v>
      </c>
      <c r="B1093">
        <v>53.0</v>
      </c>
      <c r="C1093">
        <v>220.0</v>
      </c>
      <c r="D1093">
        <v>3.0</v>
      </c>
      <c r="E1093" t="str">
        <f t="shared" si="1"/>
        <v>7.0125</v>
      </c>
      <c r="F1093">
        <v>4.0</v>
      </c>
      <c r="G1093">
        <v>2.0</v>
      </c>
      <c r="H1093" t="str">
        <f t="shared" si="2"/>
        <v>8</v>
      </c>
      <c r="I1093">
        <v>143.0</v>
      </c>
      <c r="J1093" t="str">
        <f t="shared" si="3"/>
        <v>454.025</v>
      </c>
      <c r="K1093" t="str">
        <f t="shared" si="4"/>
        <v>1094.20025</v>
      </c>
      <c r="L1093" t="str">
        <f t="shared" si="5"/>
        <v>13.67750313</v>
      </c>
      <c r="M1093" t="str">
        <f t="shared" si="6"/>
        <v>241</v>
      </c>
      <c r="N1093" t="s">
        <v>182</v>
      </c>
      <c r="O1093" t="s">
        <v>1994</v>
      </c>
    </row>
    <row r="1094" ht="15.75" customHeight="1">
      <c r="A1094">
        <v>1096.0</v>
      </c>
      <c r="B1094">
        <v>137.0</v>
      </c>
      <c r="C1094">
        <v>208.0</v>
      </c>
      <c r="D1094">
        <v>5.0</v>
      </c>
      <c r="E1094" t="str">
        <f t="shared" si="1"/>
        <v>6.3125</v>
      </c>
      <c r="F1094">
        <v>2.0</v>
      </c>
      <c r="G1094">
        <v>2.0</v>
      </c>
      <c r="H1094" t="str">
        <f t="shared" si="2"/>
        <v>4</v>
      </c>
      <c r="I1094">
        <v>135.0</v>
      </c>
      <c r="J1094" t="str">
        <f t="shared" si="3"/>
        <v>428.625</v>
      </c>
      <c r="K1094" t="str">
        <f t="shared" si="4"/>
        <v>1290.16125</v>
      </c>
      <c r="L1094" t="str">
        <f t="shared" si="5"/>
        <v>32.25403125</v>
      </c>
      <c r="M1094" t="str">
        <f t="shared" si="6"/>
        <v>301</v>
      </c>
      <c r="N1094" t="s">
        <v>182</v>
      </c>
      <c r="O1094" t="s">
        <v>1995</v>
      </c>
      <c r="P1094" t="s">
        <v>1996</v>
      </c>
    </row>
    <row r="1095" ht="15.75" customHeight="1">
      <c r="A1095">
        <v>1097.0</v>
      </c>
      <c r="B1095">
        <v>85.0</v>
      </c>
      <c r="C1095">
        <v>208.0</v>
      </c>
      <c r="D1095">
        <v>3.0</v>
      </c>
      <c r="E1095" t="str">
        <f t="shared" si="1"/>
        <v>6.3125</v>
      </c>
      <c r="F1095">
        <v>4.0</v>
      </c>
      <c r="G1095">
        <v>2.0</v>
      </c>
      <c r="H1095" t="str">
        <f t="shared" si="2"/>
        <v>8</v>
      </c>
      <c r="I1095">
        <v>135.0</v>
      </c>
      <c r="J1095" t="str">
        <f t="shared" si="3"/>
        <v>428.625</v>
      </c>
      <c r="K1095" t="str">
        <f t="shared" si="4"/>
        <v>1581.62625</v>
      </c>
      <c r="L1095" t="str">
        <f t="shared" si="5"/>
        <v>19.77032813</v>
      </c>
      <c r="M1095" t="str">
        <f t="shared" si="6"/>
        <v>369</v>
      </c>
      <c r="N1095" t="s">
        <v>182</v>
      </c>
      <c r="O1095" t="s">
        <v>1997</v>
      </c>
      <c r="P1095" t="s">
        <v>1998</v>
      </c>
    </row>
    <row r="1096" ht="15.75" customHeight="1">
      <c r="A1096">
        <v>1098.0</v>
      </c>
      <c r="B1096">
        <v>115.0</v>
      </c>
      <c r="C1096">
        <v>105.0</v>
      </c>
      <c r="D1096">
        <v>3.0</v>
      </c>
      <c r="E1096" t="str">
        <f t="shared" si="1"/>
        <v>2.95</v>
      </c>
      <c r="F1096">
        <v>2.0</v>
      </c>
      <c r="G1096">
        <v>3.0</v>
      </c>
      <c r="H1096" t="str">
        <f t="shared" si="2"/>
        <v>6</v>
      </c>
      <c r="I1096">
        <v>102.0</v>
      </c>
      <c r="J1096" t="str">
        <f t="shared" si="3"/>
        <v>323.85</v>
      </c>
      <c r="K1096" t="str">
        <f t="shared" si="4"/>
        <v>819.3405</v>
      </c>
      <c r="L1096" t="str">
        <f t="shared" si="5"/>
        <v>13.655675</v>
      </c>
      <c r="M1096" t="str">
        <f t="shared" si="6"/>
        <v>253</v>
      </c>
      <c r="N1096" t="s">
        <v>182</v>
      </c>
      <c r="O1096" t="s">
        <v>1999</v>
      </c>
      <c r="P1096" t="s">
        <v>2000</v>
      </c>
    </row>
    <row r="1097" ht="15.75" customHeight="1">
      <c r="A1097">
        <v>1099.0</v>
      </c>
      <c r="B1097">
        <v>140.0</v>
      </c>
      <c r="C1097">
        <v>106.0</v>
      </c>
      <c r="D1097">
        <v>5.0</v>
      </c>
      <c r="E1097" t="str">
        <f t="shared" si="1"/>
        <v>5.125</v>
      </c>
      <c r="F1097">
        <v>2.0</v>
      </c>
      <c r="G1097">
        <v>3.0</v>
      </c>
      <c r="H1097" t="str">
        <f t="shared" si="2"/>
        <v>6</v>
      </c>
      <c r="I1097">
        <v>105.0</v>
      </c>
      <c r="J1097" t="str">
        <f t="shared" si="3"/>
        <v>333.375</v>
      </c>
      <c r="K1097" t="str">
        <f t="shared" si="4"/>
        <v>1023.46125</v>
      </c>
      <c r="L1097" t="str">
        <f t="shared" si="5"/>
        <v>17.0576875</v>
      </c>
      <c r="M1097" t="str">
        <f t="shared" si="6"/>
        <v>307</v>
      </c>
      <c r="N1097" t="s">
        <v>182</v>
      </c>
      <c r="O1097" t="s">
        <v>2001</v>
      </c>
      <c r="P1097" t="s">
        <v>2002</v>
      </c>
    </row>
    <row r="1098" ht="15.75" customHeight="1">
      <c r="A1098">
        <v>1100.0</v>
      </c>
      <c r="B1098">
        <v>90.0</v>
      </c>
      <c r="C1098">
        <v>45.0</v>
      </c>
      <c r="D1098">
        <v>3.0</v>
      </c>
      <c r="E1098" t="str">
        <f t="shared" si="1"/>
        <v>2.625</v>
      </c>
      <c r="F1098">
        <v>4.0</v>
      </c>
      <c r="G1098">
        <v>7.0</v>
      </c>
      <c r="H1098" t="str">
        <f t="shared" si="2"/>
        <v>28</v>
      </c>
      <c r="I1098">
        <v>105.0</v>
      </c>
      <c r="J1098" t="str">
        <f t="shared" si="3"/>
        <v>333.375</v>
      </c>
      <c r="K1098" t="str">
        <f t="shared" si="4"/>
        <v>1296.82875</v>
      </c>
      <c r="L1098" t="str">
        <f t="shared" si="5"/>
        <v>4.63153125</v>
      </c>
      <c r="M1098" t="str">
        <f t="shared" si="6"/>
        <v>389</v>
      </c>
      <c r="N1098" t="s">
        <v>187</v>
      </c>
      <c r="O1098" t="s">
        <v>2003</v>
      </c>
      <c r="P1098" t="s">
        <v>2004</v>
      </c>
    </row>
    <row r="1099" ht="15.75" customHeight="1">
      <c r="A1099">
        <v>1101.0</v>
      </c>
      <c r="B1099">
        <v>59.0</v>
      </c>
      <c r="C1099">
        <v>255.0</v>
      </c>
      <c r="D1099">
        <v>3.0</v>
      </c>
      <c r="E1099" t="str">
        <f t="shared" si="1"/>
        <v>6.9375</v>
      </c>
      <c r="F1099">
        <v>6.0</v>
      </c>
      <c r="G1099">
        <v>2.0</v>
      </c>
      <c r="H1099" t="str">
        <f t="shared" si="2"/>
        <v>12</v>
      </c>
      <c r="I1099">
        <v>165.0</v>
      </c>
      <c r="J1099" t="str">
        <f t="shared" si="3"/>
        <v>523.875</v>
      </c>
      <c r="K1099" t="str">
        <f t="shared" si="4"/>
        <v>2037.87375</v>
      </c>
      <c r="L1099" t="str">
        <f t="shared" si="5"/>
        <v>16.98228125</v>
      </c>
      <c r="M1099" t="str">
        <f t="shared" si="6"/>
        <v>389</v>
      </c>
      <c r="N1099" t="s">
        <v>182</v>
      </c>
      <c r="O1099" t="s">
        <v>2005</v>
      </c>
    </row>
    <row r="1100" ht="15.75" customHeight="1">
      <c r="A1100">
        <v>1102.0</v>
      </c>
      <c r="B1100">
        <v>60.0</v>
      </c>
      <c r="C1100">
        <v>45.0</v>
      </c>
      <c r="D1100">
        <v>3.0</v>
      </c>
      <c r="E1100" t="str">
        <f t="shared" si="1"/>
        <v>3.985714286</v>
      </c>
      <c r="F1100">
        <v>4.0</v>
      </c>
      <c r="G1100">
        <v>7.0</v>
      </c>
      <c r="H1100" t="str">
        <f t="shared" si="2"/>
        <v>28</v>
      </c>
      <c r="I1100">
        <v>108.0</v>
      </c>
      <c r="J1100" t="str">
        <f t="shared" si="3"/>
        <v>342.9</v>
      </c>
      <c r="K1100" t="str">
        <f t="shared" si="4"/>
        <v>922.401</v>
      </c>
      <c r="L1100" t="str">
        <f t="shared" si="5"/>
        <v>3.294289286</v>
      </c>
      <c r="M1100" t="str">
        <f t="shared" si="6"/>
        <v>269</v>
      </c>
      <c r="N1100" t="s">
        <v>187</v>
      </c>
      <c r="O1100" t="s">
        <v>2006</v>
      </c>
      <c r="P1100" t="s">
        <v>2007</v>
      </c>
    </row>
    <row r="1101" ht="15.75" customHeight="1">
      <c r="A1101">
        <v>1103.0</v>
      </c>
      <c r="B1101">
        <v>80.0</v>
      </c>
      <c r="C1101">
        <v>55.0</v>
      </c>
      <c r="D1101">
        <v>3.0</v>
      </c>
      <c r="E1101" t="str">
        <f t="shared" si="1"/>
        <v>3.208333333</v>
      </c>
      <c r="F1101">
        <v>4.0</v>
      </c>
      <c r="G1101">
        <v>6.0</v>
      </c>
      <c r="H1101" t="str">
        <f t="shared" si="2"/>
        <v>24</v>
      </c>
      <c r="I1101">
        <v>110.0</v>
      </c>
      <c r="J1101" t="str">
        <f t="shared" si="3"/>
        <v>349.25</v>
      </c>
      <c r="K1101" t="str">
        <f t="shared" si="4"/>
        <v>1218.8825</v>
      </c>
      <c r="L1101" t="str">
        <f t="shared" si="5"/>
        <v>5.078677083</v>
      </c>
      <c r="M1101" t="str">
        <f t="shared" si="6"/>
        <v>349</v>
      </c>
      <c r="N1101" t="s">
        <v>187</v>
      </c>
      <c r="O1101" t="s">
        <v>2008</v>
      </c>
      <c r="P1101" t="s">
        <v>2009</v>
      </c>
    </row>
    <row r="1102" ht="15.75" customHeight="1">
      <c r="A1102">
        <v>1104.0</v>
      </c>
      <c r="B1102">
        <v>83.0</v>
      </c>
      <c r="C1102">
        <v>63.0</v>
      </c>
      <c r="D1102">
        <v>4.0</v>
      </c>
      <c r="E1102" t="str">
        <f t="shared" si="1"/>
        <v>3.675</v>
      </c>
      <c r="F1102">
        <v>4.0</v>
      </c>
      <c r="G1102">
        <v>5.0</v>
      </c>
      <c r="H1102" t="str">
        <f t="shared" si="2"/>
        <v>20</v>
      </c>
      <c r="I1102">
        <v>105.0</v>
      </c>
      <c r="J1102" t="str">
        <f t="shared" si="3"/>
        <v>333.375</v>
      </c>
      <c r="K1102" t="str">
        <f t="shared" si="4"/>
        <v>1216.81875</v>
      </c>
      <c r="L1102" t="str">
        <f t="shared" si="5"/>
        <v>6.08409375</v>
      </c>
      <c r="M1102" t="str">
        <f t="shared" si="6"/>
        <v>365</v>
      </c>
      <c r="N1102" t="s">
        <v>187</v>
      </c>
      <c r="O1102" t="s">
        <v>2010</v>
      </c>
      <c r="P1102" t="s">
        <v>2011</v>
      </c>
    </row>
    <row r="1103" ht="15.75" customHeight="1">
      <c r="A1103">
        <v>1105.0</v>
      </c>
      <c r="B1103">
        <v>70.0</v>
      </c>
      <c r="C1103">
        <v>75.0</v>
      </c>
      <c r="D1103">
        <v>3.0</v>
      </c>
      <c r="E1103" t="str">
        <f t="shared" si="1"/>
        <v>2.7875</v>
      </c>
      <c r="F1103">
        <v>4.0</v>
      </c>
      <c r="G1103">
        <v>4.0</v>
      </c>
      <c r="H1103" t="str">
        <f t="shared" si="2"/>
        <v>16</v>
      </c>
      <c r="I1103">
        <v>98.0</v>
      </c>
      <c r="J1103" t="str">
        <f t="shared" si="3"/>
        <v>311.15</v>
      </c>
      <c r="K1103" t="str">
        <f t="shared" si="4"/>
        <v>961.4535</v>
      </c>
      <c r="L1103" t="str">
        <f t="shared" si="5"/>
        <v>6.009084375</v>
      </c>
      <c r="M1103" t="str">
        <f t="shared" si="6"/>
        <v>309</v>
      </c>
      <c r="N1103" t="s">
        <v>187</v>
      </c>
      <c r="O1103" t="s">
        <v>2012</v>
      </c>
      <c r="P1103" s="126" t="s">
        <v>2013</v>
      </c>
    </row>
    <row r="1104" ht="15.75" customHeight="1">
      <c r="A1104">
        <v>1106.0</v>
      </c>
      <c r="B1104">
        <v>128.0</v>
      </c>
      <c r="C1104">
        <v>90.0</v>
      </c>
      <c r="D1104">
        <v>3.0</v>
      </c>
      <c r="E1104" t="str">
        <f t="shared" si="1"/>
        <v>3.133333333</v>
      </c>
      <c r="F1104">
        <v>2.0</v>
      </c>
      <c r="G1104">
        <v>3.0</v>
      </c>
      <c r="H1104" t="str">
        <f t="shared" si="2"/>
        <v>6</v>
      </c>
      <c r="I1104">
        <v>88.0</v>
      </c>
      <c r="J1104" t="str">
        <f t="shared" si="3"/>
        <v>279.4</v>
      </c>
      <c r="K1104" t="str">
        <f t="shared" si="4"/>
        <v>779.526</v>
      </c>
      <c r="L1104" t="str">
        <f t="shared" si="5"/>
        <v>12.9921</v>
      </c>
      <c r="M1104" t="str">
        <f t="shared" si="6"/>
        <v>279</v>
      </c>
      <c r="N1104" t="s">
        <v>187</v>
      </c>
      <c r="O1104" t="s">
        <v>2014</v>
      </c>
      <c r="P1104" t="s">
        <v>2015</v>
      </c>
    </row>
    <row r="1105" ht="15.75" customHeight="1">
      <c r="A1105">
        <v>1107.0</v>
      </c>
      <c r="B1105">
        <v>150.0</v>
      </c>
      <c r="C1105">
        <v>72.0</v>
      </c>
      <c r="D1105">
        <v>3.0</v>
      </c>
      <c r="E1105" t="str">
        <f t="shared" si="1"/>
        <v>4.2</v>
      </c>
      <c r="F1105">
        <v>2.0</v>
      </c>
      <c r="G1105">
        <v>4.0</v>
      </c>
      <c r="H1105" t="str">
        <f t="shared" si="2"/>
        <v>8</v>
      </c>
      <c r="I1105">
        <v>96.0</v>
      </c>
      <c r="J1105" t="str">
        <f t="shared" si="3"/>
        <v>304.8</v>
      </c>
      <c r="K1105" t="str">
        <f t="shared" si="4"/>
        <v>984.504</v>
      </c>
      <c r="L1105" t="str">
        <f t="shared" si="5"/>
        <v>12.3063</v>
      </c>
      <c r="M1105" t="str">
        <f t="shared" si="6"/>
        <v>323</v>
      </c>
      <c r="N1105" t="s">
        <v>187</v>
      </c>
      <c r="O1105" t="s">
        <v>2016</v>
      </c>
      <c r="P1105" t="s">
        <v>2017</v>
      </c>
    </row>
    <row r="1106" ht="15.75" customHeight="1">
      <c r="A1106">
        <v>1108.0</v>
      </c>
      <c r="B1106">
        <v>138.0</v>
      </c>
      <c r="C1106">
        <v>87.0</v>
      </c>
      <c r="D1106">
        <v>5.0</v>
      </c>
      <c r="E1106" t="str">
        <f t="shared" si="1"/>
        <v>-3.65625</v>
      </c>
      <c r="F1106">
        <v>2.0</v>
      </c>
      <c r="G1106">
        <v>4.0</v>
      </c>
      <c r="H1106" t="str">
        <f t="shared" si="2"/>
        <v>8</v>
      </c>
      <c r="I1106">
        <v>105.0</v>
      </c>
      <c r="J1106" t="str">
        <f t="shared" si="3"/>
        <v>333.375</v>
      </c>
      <c r="K1106" t="str">
        <f t="shared" si="4"/>
        <v>1010.12625</v>
      </c>
      <c r="L1106" t="str">
        <f t="shared" si="5"/>
        <v>12.62657813</v>
      </c>
      <c r="M1106" t="str">
        <f t="shared" si="6"/>
        <v>303</v>
      </c>
      <c r="N1106" t="s">
        <v>182</v>
      </c>
      <c r="O1106" t="s">
        <v>2018</v>
      </c>
      <c r="P1106" t="s">
        <v>2019</v>
      </c>
    </row>
    <row r="1107" ht="15.75" customHeight="1">
      <c r="A1107">
        <v>1109.0</v>
      </c>
      <c r="B1107">
        <v>75.0</v>
      </c>
      <c r="C1107">
        <v>200.0</v>
      </c>
      <c r="D1107">
        <v>3.0</v>
      </c>
      <c r="E1107" t="str">
        <f t="shared" si="1"/>
        <v>14.3125</v>
      </c>
      <c r="F1107">
        <v>4.0</v>
      </c>
      <c r="G1107">
        <v>2.0</v>
      </c>
      <c r="H1107" t="str">
        <f t="shared" si="2"/>
        <v>8</v>
      </c>
      <c r="I1107">
        <v>135.0</v>
      </c>
      <c r="J1107" t="str">
        <f t="shared" si="3"/>
        <v>428.625</v>
      </c>
      <c r="K1107" t="str">
        <f t="shared" si="4"/>
        <v>1410.17625</v>
      </c>
      <c r="L1107" t="str">
        <f t="shared" si="5"/>
        <v>17.62720313</v>
      </c>
      <c r="M1107" t="str">
        <f t="shared" si="6"/>
        <v>329</v>
      </c>
      <c r="N1107" t="s">
        <v>182</v>
      </c>
      <c r="O1107" t="s">
        <v>2020</v>
      </c>
    </row>
    <row r="1108" ht="15.75" customHeight="1">
      <c r="A1108">
        <v>1110.0</v>
      </c>
      <c r="B1108">
        <v>153.0</v>
      </c>
      <c r="C1108">
        <v>68.0</v>
      </c>
      <c r="D1108">
        <v>4.0</v>
      </c>
      <c r="E1108" t="str">
        <f t="shared" si="1"/>
        <v>3.4375</v>
      </c>
      <c r="F1108">
        <v>2.0</v>
      </c>
      <c r="G1108">
        <v>4.0</v>
      </c>
      <c r="H1108" t="str">
        <f t="shared" si="2"/>
        <v>8</v>
      </c>
      <c r="I1108">
        <v>90.0</v>
      </c>
      <c r="J1108" t="str">
        <f t="shared" si="3"/>
        <v>285.75</v>
      </c>
      <c r="K1108" t="str">
        <f t="shared" si="4"/>
        <v>945.8325</v>
      </c>
      <c r="L1108" t="str">
        <f t="shared" si="5"/>
        <v>11.82290625</v>
      </c>
      <c r="M1108" t="str">
        <f t="shared" si="6"/>
        <v>331</v>
      </c>
      <c r="N1108" t="s">
        <v>182</v>
      </c>
      <c r="O1108" t="s">
        <v>2021</v>
      </c>
      <c r="P1108" t="s">
        <v>2022</v>
      </c>
    </row>
    <row r="1109" ht="15.75" customHeight="1">
      <c r="A1109">
        <v>1111.0</v>
      </c>
      <c r="B1109">
        <v>98.0</v>
      </c>
      <c r="C1109">
        <v>56.0</v>
      </c>
      <c r="D1109">
        <v>4.0</v>
      </c>
      <c r="E1109" t="str">
        <f t="shared" si="1"/>
        <v>2.7375</v>
      </c>
      <c r="F1109">
        <v>2.0</v>
      </c>
      <c r="G1109">
        <v>8.0</v>
      </c>
      <c r="H1109" t="str">
        <f t="shared" si="2"/>
        <v>16</v>
      </c>
      <c r="I1109">
        <v>148.0</v>
      </c>
      <c r="J1109" t="str">
        <f t="shared" si="3"/>
        <v>469.9</v>
      </c>
      <c r="K1109" t="str">
        <f t="shared" si="4"/>
        <v>1038.479</v>
      </c>
      <c r="L1109" t="str">
        <f t="shared" si="5"/>
        <v>6.49049375</v>
      </c>
      <c r="M1109" t="str">
        <f t="shared" si="6"/>
        <v>221</v>
      </c>
      <c r="N1109" t="s">
        <v>182</v>
      </c>
      <c r="O1109" t="s">
        <v>2023</v>
      </c>
      <c r="P1109" t="s">
        <v>2024</v>
      </c>
    </row>
    <row r="1110" ht="15.75" customHeight="1">
      <c r="A1110">
        <v>1112.0</v>
      </c>
      <c r="B1110">
        <v>65.0</v>
      </c>
      <c r="C1110">
        <v>346.0</v>
      </c>
      <c r="D1110">
        <v>3.0</v>
      </c>
      <c r="E1110" t="str">
        <f t="shared" si="1"/>
        <v>3.25</v>
      </c>
      <c r="F1110">
        <v>5.0</v>
      </c>
      <c r="G1110">
        <v>1.0</v>
      </c>
      <c r="H1110" t="str">
        <f t="shared" si="2"/>
        <v>5</v>
      </c>
      <c r="I1110">
        <v>110.0</v>
      </c>
      <c r="J1110" t="str">
        <f t="shared" si="3"/>
        <v>349.25</v>
      </c>
      <c r="K1110" t="str">
        <f t="shared" si="4"/>
        <v>1246.8225</v>
      </c>
      <c r="L1110" t="str">
        <f t="shared" si="5"/>
        <v>24.93645</v>
      </c>
      <c r="M1110" t="str">
        <f t="shared" si="6"/>
        <v>357</v>
      </c>
      <c r="N1110" t="s">
        <v>187</v>
      </c>
      <c r="O1110" t="s">
        <v>2025</v>
      </c>
      <c r="P1110" t="s">
        <v>2026</v>
      </c>
    </row>
    <row r="1111" ht="15.75" customHeight="1">
      <c r="A1111">
        <v>1113.0</v>
      </c>
      <c r="B1111">
        <v>65.0</v>
      </c>
      <c r="C1111">
        <v>65.0</v>
      </c>
      <c r="D1111">
        <v>3.0</v>
      </c>
      <c r="E1111" t="str">
        <f t="shared" si="1"/>
        <v>3.2625</v>
      </c>
      <c r="F1111">
        <v>4.0</v>
      </c>
      <c r="G1111">
        <v>4.0</v>
      </c>
      <c r="H1111" t="str">
        <f t="shared" si="2"/>
        <v>16</v>
      </c>
      <c r="I1111">
        <v>86.0</v>
      </c>
      <c r="J1111" t="str">
        <f t="shared" si="3"/>
        <v>273.05</v>
      </c>
      <c r="K1111" t="str">
        <f t="shared" si="4"/>
        <v>789.1145</v>
      </c>
      <c r="L1111" t="str">
        <f t="shared" si="5"/>
        <v>4.931965625</v>
      </c>
      <c r="M1111" t="str">
        <f t="shared" si="6"/>
        <v>289</v>
      </c>
      <c r="N1111" t="s">
        <v>182</v>
      </c>
      <c r="O1111" t="s">
        <v>2027</v>
      </c>
      <c r="P1111" t="s">
        <v>2028</v>
      </c>
    </row>
    <row r="1112" ht="15.75" customHeight="1">
      <c r="A1112">
        <v>1114.0</v>
      </c>
      <c r="B1112">
        <v>92.0</v>
      </c>
      <c r="C1112">
        <v>92.0</v>
      </c>
      <c r="D1112">
        <v>3.0</v>
      </c>
      <c r="E1112" t="str">
        <f t="shared" si="1"/>
        <v>3.25</v>
      </c>
      <c r="F1112">
        <v>2.0</v>
      </c>
      <c r="G1112">
        <v>4.0</v>
      </c>
      <c r="H1112" t="str">
        <f t="shared" si="2"/>
        <v>8</v>
      </c>
      <c r="I1112">
        <v>120.0</v>
      </c>
      <c r="J1112" t="str">
        <f t="shared" si="3"/>
        <v>381</v>
      </c>
      <c r="K1112" t="str">
        <f t="shared" si="4"/>
        <v>788.67</v>
      </c>
      <c r="L1112" t="str">
        <f t="shared" si="5"/>
        <v>9.858375</v>
      </c>
      <c r="M1112" t="str">
        <f t="shared" si="6"/>
        <v>207</v>
      </c>
      <c r="N1112" t="s">
        <v>182</v>
      </c>
      <c r="O1112" t="s">
        <v>2029</v>
      </c>
      <c r="P1112" t="s">
        <v>2030</v>
      </c>
    </row>
    <row r="1113" ht="15.75" customHeight="1">
      <c r="A1113">
        <v>1115.0</v>
      </c>
      <c r="B1113">
        <v>139.0</v>
      </c>
      <c r="C1113">
        <v>75.0</v>
      </c>
      <c r="D1113">
        <v>3.0</v>
      </c>
      <c r="E1113" t="str">
        <f t="shared" si="1"/>
        <v>2.7875</v>
      </c>
      <c r="F1113">
        <v>2.0</v>
      </c>
      <c r="G1113">
        <v>4.0</v>
      </c>
      <c r="H1113" t="str">
        <f t="shared" si="2"/>
        <v>8</v>
      </c>
      <c r="I1113">
        <v>98.0</v>
      </c>
      <c r="J1113" t="str">
        <f t="shared" si="3"/>
        <v>311.15</v>
      </c>
      <c r="K1113" t="str">
        <f t="shared" si="4"/>
        <v>936.5615</v>
      </c>
      <c r="L1113" t="str">
        <f t="shared" si="5"/>
        <v>11.70701875</v>
      </c>
      <c r="M1113" t="str">
        <f t="shared" si="6"/>
        <v>301</v>
      </c>
      <c r="N1113" t="s">
        <v>187</v>
      </c>
      <c r="O1113" t="s">
        <v>2031</v>
      </c>
      <c r="P1113" t="s">
        <v>2032</v>
      </c>
    </row>
    <row r="1114" ht="15.75" customHeight="1">
      <c r="A1114">
        <v>1116.0</v>
      </c>
      <c r="B1114">
        <v>65.0</v>
      </c>
      <c r="C1114">
        <v>308.0</v>
      </c>
      <c r="D1114">
        <v>3.0</v>
      </c>
      <c r="E1114" t="str">
        <f t="shared" si="1"/>
        <v>3.15</v>
      </c>
      <c r="F1114">
        <v>4.0</v>
      </c>
      <c r="G1114">
        <v>1.0</v>
      </c>
      <c r="H1114" t="str">
        <f t="shared" si="2"/>
        <v>4</v>
      </c>
      <c r="I1114">
        <v>98.0</v>
      </c>
      <c r="J1114" t="str">
        <f t="shared" si="3"/>
        <v>311.15</v>
      </c>
      <c r="K1114" t="str">
        <f t="shared" si="4"/>
        <v>899.2235</v>
      </c>
      <c r="L1114" t="str">
        <f t="shared" si="5"/>
        <v>22.4805875</v>
      </c>
      <c r="M1114" t="str">
        <f t="shared" si="6"/>
        <v>289</v>
      </c>
      <c r="N1114" t="s">
        <v>182</v>
      </c>
      <c r="O1114" t="s">
        <v>2033</v>
      </c>
    </row>
    <row r="1115" ht="15.75" customHeight="1">
      <c r="A1115">
        <v>1117.0</v>
      </c>
      <c r="B1115">
        <v>60.0</v>
      </c>
      <c r="C1115">
        <v>240.0</v>
      </c>
      <c r="D1115">
        <v>3.0</v>
      </c>
      <c r="E1115" t="str">
        <f t="shared" si="1"/>
        <v>2.8875</v>
      </c>
      <c r="F1115">
        <v>5.0</v>
      </c>
      <c r="G1115">
        <v>2.0</v>
      </c>
      <c r="H1115" t="str">
        <f t="shared" si="2"/>
        <v>10</v>
      </c>
      <c r="I1115">
        <v>153.0</v>
      </c>
      <c r="J1115" t="str">
        <f t="shared" si="3"/>
        <v>485.775</v>
      </c>
      <c r="K1115" t="str">
        <f t="shared" si="4"/>
        <v>1612.773</v>
      </c>
      <c r="L1115" t="str">
        <f t="shared" si="5"/>
        <v>16.12773</v>
      </c>
      <c r="M1115" t="str">
        <f t="shared" si="6"/>
        <v>332</v>
      </c>
      <c r="N1115" t="s">
        <v>182</v>
      </c>
      <c r="O1115" t="s">
        <v>2034</v>
      </c>
    </row>
    <row r="1116" ht="15.75" customHeight="1">
      <c r="A1116">
        <v>1118.0</v>
      </c>
      <c r="B1116">
        <v>111.0</v>
      </c>
      <c r="C1116">
        <v>76.0</v>
      </c>
      <c r="D1116">
        <v>3.0</v>
      </c>
      <c r="E1116" t="str">
        <f t="shared" si="1"/>
        <v>4.01</v>
      </c>
      <c r="F1116">
        <v>3.0</v>
      </c>
      <c r="G1116">
        <v>5.0</v>
      </c>
      <c r="H1116" t="str">
        <f t="shared" si="2"/>
        <v>15</v>
      </c>
      <c r="I1116">
        <v>126.0</v>
      </c>
      <c r="J1116" t="str">
        <f t="shared" si="3"/>
        <v>400.05</v>
      </c>
      <c r="K1116" t="str">
        <f t="shared" si="4"/>
        <v>1436.1795</v>
      </c>
      <c r="L1116" t="str">
        <f t="shared" si="5"/>
        <v>9.57453</v>
      </c>
      <c r="M1116" t="str">
        <f t="shared" si="6"/>
        <v>359</v>
      </c>
      <c r="N1116" t="s">
        <v>187</v>
      </c>
      <c r="O1116" t="s">
        <v>2035</v>
      </c>
      <c r="P1116" t="s">
        <v>2036</v>
      </c>
    </row>
    <row r="1117" ht="15.75" customHeight="1">
      <c r="A1117">
        <v>1119.0</v>
      </c>
      <c r="B1117">
        <v>135.0</v>
      </c>
      <c r="C1117">
        <v>75.0</v>
      </c>
      <c r="D1117">
        <v>5.0</v>
      </c>
      <c r="E1117" t="str">
        <f t="shared" si="1"/>
        <v>2.7875</v>
      </c>
      <c r="F1117">
        <v>2.0</v>
      </c>
      <c r="G1117">
        <v>4.0</v>
      </c>
      <c r="H1117" t="str">
        <f t="shared" si="2"/>
        <v>8</v>
      </c>
      <c r="I1117">
        <v>98.0</v>
      </c>
      <c r="J1117" t="str">
        <f t="shared" si="3"/>
        <v>311.15</v>
      </c>
      <c r="K1117" t="str">
        <f t="shared" si="4"/>
        <v>924.1155</v>
      </c>
      <c r="L1117" t="str">
        <f t="shared" si="5"/>
        <v>11.55144375</v>
      </c>
      <c r="M1117" t="str">
        <f t="shared" si="6"/>
        <v>297</v>
      </c>
      <c r="N1117" t="s">
        <v>182</v>
      </c>
      <c r="O1117" t="s">
        <v>2037</v>
      </c>
      <c r="P1117" t="s">
        <v>2038</v>
      </c>
    </row>
    <row r="1118" ht="15.75" customHeight="1">
      <c r="A1118">
        <v>1120.0</v>
      </c>
      <c r="B1118">
        <v>50.0</v>
      </c>
      <c r="C1118">
        <v>70.0</v>
      </c>
      <c r="D1118">
        <v>3.0</v>
      </c>
      <c r="E1118" t="str">
        <f t="shared" si="1"/>
        <v>6.2</v>
      </c>
      <c r="F1118">
        <v>5.0</v>
      </c>
      <c r="G1118">
        <v>4.0</v>
      </c>
      <c r="H1118" t="str">
        <f t="shared" si="2"/>
        <v>20</v>
      </c>
      <c r="I1118">
        <v>96.0</v>
      </c>
      <c r="J1118" t="str">
        <f t="shared" si="3"/>
        <v>304.8</v>
      </c>
      <c r="K1118" t="str">
        <f t="shared" si="4"/>
        <v>859.536</v>
      </c>
      <c r="L1118" t="str">
        <f t="shared" si="5"/>
        <v>4.29768</v>
      </c>
      <c r="M1118" t="str">
        <f t="shared" si="6"/>
        <v>282</v>
      </c>
      <c r="N1118" t="s">
        <v>182</v>
      </c>
      <c r="O1118" t="s">
        <v>2039</v>
      </c>
    </row>
    <row r="1119" ht="15.75" customHeight="1">
      <c r="A1119">
        <v>1121.0</v>
      </c>
      <c r="B1119">
        <v>73.0</v>
      </c>
      <c r="C1119">
        <v>73.0</v>
      </c>
      <c r="D1119">
        <v>3.0</v>
      </c>
      <c r="E1119" t="str">
        <f t="shared" si="1"/>
        <v>3.2</v>
      </c>
      <c r="F1119">
        <v>4.0</v>
      </c>
      <c r="G1119">
        <v>4.0</v>
      </c>
      <c r="H1119" t="str">
        <f t="shared" si="2"/>
        <v>16</v>
      </c>
      <c r="I1119">
        <v>96.0</v>
      </c>
      <c r="J1119" t="str">
        <f t="shared" si="3"/>
        <v>304.8</v>
      </c>
      <c r="K1119" t="str">
        <f t="shared" si="4"/>
        <v>978.408</v>
      </c>
      <c r="L1119" t="str">
        <f t="shared" si="5"/>
        <v>6.11505</v>
      </c>
      <c r="M1119" t="str">
        <f t="shared" si="6"/>
        <v>321</v>
      </c>
      <c r="N1119" t="s">
        <v>182</v>
      </c>
      <c r="O1119" t="s">
        <v>2040</v>
      </c>
      <c r="P1119" t="s">
        <v>2041</v>
      </c>
    </row>
    <row r="1120" ht="15.75" customHeight="1">
      <c r="A1120">
        <v>1122.0</v>
      </c>
      <c r="B1120">
        <v>75.0</v>
      </c>
      <c r="C1120">
        <v>290.0</v>
      </c>
      <c r="D1120">
        <v>3.0</v>
      </c>
      <c r="E1120" t="str">
        <f t="shared" si="1"/>
        <v>14.8</v>
      </c>
      <c r="F1120">
        <v>4.0</v>
      </c>
      <c r="G1120">
        <v>1.0</v>
      </c>
      <c r="H1120" t="str">
        <f t="shared" si="2"/>
        <v>4</v>
      </c>
      <c r="I1120">
        <v>96.0</v>
      </c>
      <c r="J1120" t="str">
        <f t="shared" si="3"/>
        <v>304.8</v>
      </c>
      <c r="K1120" t="str">
        <f t="shared" si="4"/>
        <v>1002.792</v>
      </c>
      <c r="L1120" t="str">
        <f t="shared" si="5"/>
        <v>25.0698</v>
      </c>
      <c r="M1120" t="str">
        <f t="shared" si="6"/>
        <v>329</v>
      </c>
      <c r="N1120" t="s">
        <v>182</v>
      </c>
      <c r="O1120" t="s">
        <v>2042</v>
      </c>
    </row>
    <row r="1121" ht="15.75" customHeight="1">
      <c r="A1121">
        <v>1123.0</v>
      </c>
      <c r="B1121">
        <v>60.0</v>
      </c>
      <c r="C1121">
        <v>120.0</v>
      </c>
      <c r="D1121">
        <v>3.0</v>
      </c>
      <c r="E1121" t="str">
        <f t="shared" si="1"/>
        <v>7</v>
      </c>
      <c r="F1121">
        <v>6.0</v>
      </c>
      <c r="G1121">
        <v>3.0</v>
      </c>
      <c r="H1121" t="str">
        <f t="shared" si="2"/>
        <v>18</v>
      </c>
      <c r="I1121">
        <v>120.0</v>
      </c>
      <c r="J1121" t="str">
        <f t="shared" si="3"/>
        <v>381</v>
      </c>
      <c r="K1121" t="str">
        <f t="shared" si="4"/>
        <v>1504.95</v>
      </c>
      <c r="L1121" t="str">
        <f t="shared" si="5"/>
        <v>8.360833333</v>
      </c>
      <c r="M1121" t="str">
        <f t="shared" si="6"/>
        <v>395</v>
      </c>
      <c r="N1121" t="s">
        <v>182</v>
      </c>
      <c r="O1121" t="s">
        <v>2043</v>
      </c>
    </row>
    <row r="1122" ht="15.75" customHeight="1">
      <c r="A1122">
        <v>1124.0</v>
      </c>
      <c r="B1122">
        <v>196.0</v>
      </c>
      <c r="C1122">
        <v>149.0</v>
      </c>
      <c r="D1122">
        <v>3.0</v>
      </c>
      <c r="E1122" t="str">
        <f t="shared" si="1"/>
        <v>3.4</v>
      </c>
      <c r="F1122">
        <v>2.0</v>
      </c>
      <c r="G1122">
        <v>2.0</v>
      </c>
      <c r="H1122" t="str">
        <f t="shared" si="2"/>
        <v>4</v>
      </c>
      <c r="I1122">
        <v>96.0</v>
      </c>
      <c r="J1122" t="str">
        <f t="shared" si="3"/>
        <v>304.8</v>
      </c>
      <c r="K1122" t="str">
        <f t="shared" si="4"/>
        <v>1264.92</v>
      </c>
      <c r="L1122" t="str">
        <f t="shared" si="5"/>
        <v>31.623</v>
      </c>
      <c r="M1122" t="str">
        <f t="shared" si="6"/>
        <v>415</v>
      </c>
      <c r="N1122" t="s">
        <v>187</v>
      </c>
      <c r="O1122" t="s">
        <v>2044</v>
      </c>
      <c r="P1122" t="s">
        <v>2045</v>
      </c>
    </row>
    <row r="1123" ht="15.75" customHeight="1">
      <c r="A1123">
        <v>1125.0</v>
      </c>
      <c r="B1123">
        <v>55.0</v>
      </c>
      <c r="C1123">
        <v>119.0</v>
      </c>
      <c r="D1123">
        <v>3.0</v>
      </c>
      <c r="E1123" t="str">
        <f t="shared" si="1"/>
        <v>2.44375</v>
      </c>
      <c r="F1123">
        <v>5.0</v>
      </c>
      <c r="G1123">
        <v>4.0</v>
      </c>
      <c r="H1123" t="str">
        <f t="shared" si="2"/>
        <v>20</v>
      </c>
      <c r="I1123">
        <v>153.0</v>
      </c>
      <c r="J1123" t="str">
        <f t="shared" si="3"/>
        <v>485.775</v>
      </c>
      <c r="K1123" t="str">
        <f t="shared" si="4"/>
        <v>1491.32925</v>
      </c>
      <c r="L1123" t="str">
        <f t="shared" si="5"/>
        <v>7.45664625</v>
      </c>
      <c r="M1123" t="str">
        <f t="shared" si="6"/>
        <v>307</v>
      </c>
      <c r="N1123" t="s">
        <v>182</v>
      </c>
      <c r="O1123" t="s">
        <v>2046</v>
      </c>
    </row>
    <row r="1124" ht="15.75" customHeight="1">
      <c r="A1124">
        <v>1126.0</v>
      </c>
      <c r="B1124">
        <v>10.0</v>
      </c>
      <c r="C1124">
        <v>160.0</v>
      </c>
      <c r="D1124">
        <v>3.0</v>
      </c>
      <c r="E1124" t="str">
        <f t="shared" si="1"/>
        <v>6.6875</v>
      </c>
      <c r="F1124">
        <v>14.0</v>
      </c>
      <c r="G1124">
        <v>2.0</v>
      </c>
      <c r="H1124" t="str">
        <f t="shared" si="2"/>
        <v>28</v>
      </c>
      <c r="I1124">
        <v>105.0</v>
      </c>
      <c r="J1124" t="str">
        <f t="shared" si="3"/>
        <v>333.375</v>
      </c>
      <c r="K1124" t="str">
        <f t="shared" si="4"/>
        <v>663.41625</v>
      </c>
      <c r="L1124" t="str">
        <f t="shared" si="5"/>
        <v>2.36934375</v>
      </c>
      <c r="M1124" t="str">
        <f t="shared" si="6"/>
        <v>199</v>
      </c>
      <c r="N1124" t="s">
        <v>187</v>
      </c>
      <c r="O1124" t="s">
        <v>2047</v>
      </c>
      <c r="P1124" s="126" t="s">
        <v>2048</v>
      </c>
    </row>
    <row r="1125" ht="15.75" customHeight="1">
      <c r="A1125">
        <v>1127.0</v>
      </c>
      <c r="B1125">
        <v>170.0</v>
      </c>
      <c r="C1125">
        <v>95.0</v>
      </c>
      <c r="D1125">
        <v>3.0</v>
      </c>
      <c r="E1125" t="str">
        <f t="shared" si="1"/>
        <v>5.0125</v>
      </c>
      <c r="F1125">
        <v>2.0</v>
      </c>
      <c r="G1125">
        <v>4.0</v>
      </c>
      <c r="H1125" t="str">
        <f t="shared" si="2"/>
        <v>8</v>
      </c>
      <c r="I1125">
        <v>126.0</v>
      </c>
      <c r="J1125" t="str">
        <f t="shared" si="3"/>
        <v>400.05</v>
      </c>
      <c r="K1125" t="str">
        <f t="shared" si="4"/>
        <v>1452.1815</v>
      </c>
      <c r="L1125" t="str">
        <f t="shared" si="5"/>
        <v>18.15226875</v>
      </c>
      <c r="M1125" t="str">
        <f t="shared" si="6"/>
        <v>363</v>
      </c>
      <c r="N1125" t="s">
        <v>187</v>
      </c>
      <c r="O1125" t="s">
        <v>2049</v>
      </c>
      <c r="P1125" t="s">
        <v>2050</v>
      </c>
    </row>
    <row r="1126" ht="15.75" customHeight="1">
      <c r="A1126">
        <v>1128.0</v>
      </c>
      <c r="B1126">
        <v>173.0</v>
      </c>
      <c r="C1126">
        <v>143.0</v>
      </c>
      <c r="D1126">
        <v>3.0</v>
      </c>
      <c r="E1126" t="str">
        <f t="shared" si="1"/>
        <v>8.341666667</v>
      </c>
      <c r="F1126">
        <v>2.0</v>
      </c>
      <c r="G1126">
        <v>3.0</v>
      </c>
      <c r="H1126" t="str">
        <f t="shared" si="2"/>
        <v>6</v>
      </c>
      <c r="I1126">
        <v>143.0</v>
      </c>
      <c r="J1126" t="str">
        <f t="shared" si="3"/>
        <v>454.025</v>
      </c>
      <c r="K1126" t="str">
        <f t="shared" si="4"/>
        <v>1675.35225</v>
      </c>
      <c r="L1126" t="str">
        <f t="shared" si="5"/>
        <v>27.9225375</v>
      </c>
      <c r="M1126" t="str">
        <f t="shared" si="6"/>
        <v>369</v>
      </c>
      <c r="N1126" t="s">
        <v>187</v>
      </c>
      <c r="O1126" t="s">
        <v>2051</v>
      </c>
      <c r="P1126" t="s">
        <v>2052</v>
      </c>
    </row>
    <row r="1127" ht="15.75" customHeight="1">
      <c r="A1127">
        <v>1129.0</v>
      </c>
      <c r="B1127">
        <v>140.0</v>
      </c>
      <c r="C1127">
        <v>140.0</v>
      </c>
      <c r="D1127">
        <v>3.0</v>
      </c>
      <c r="E1127" t="str">
        <f t="shared" si="1"/>
        <v>2.875</v>
      </c>
      <c r="F1127">
        <v>2.0</v>
      </c>
      <c r="G1127">
        <v>2.0</v>
      </c>
      <c r="H1127" t="str">
        <f t="shared" si="2"/>
        <v>4</v>
      </c>
      <c r="I1127">
        <v>90.0</v>
      </c>
      <c r="J1127" t="str">
        <f t="shared" si="3"/>
        <v>285.75</v>
      </c>
      <c r="K1127" t="str">
        <f t="shared" si="4"/>
        <v>865.8225</v>
      </c>
      <c r="L1127" t="str">
        <f t="shared" si="5"/>
        <v>21.6455625</v>
      </c>
      <c r="M1127" t="str">
        <f t="shared" si="6"/>
        <v>303</v>
      </c>
      <c r="N1127" t="s">
        <v>182</v>
      </c>
      <c r="O1127" t="s">
        <v>2053</v>
      </c>
    </row>
    <row r="1128" ht="15.75" customHeight="1">
      <c r="A1128">
        <v>1130.0</v>
      </c>
      <c r="B1128">
        <v>100.0</v>
      </c>
      <c r="C1128">
        <v>150.0</v>
      </c>
      <c r="D1128">
        <v>4.0</v>
      </c>
      <c r="E1128" t="str">
        <f t="shared" si="1"/>
        <v>2.4</v>
      </c>
      <c r="F1128">
        <v>3.0</v>
      </c>
      <c r="G1128">
        <v>2.0</v>
      </c>
      <c r="H1128" t="str">
        <f t="shared" si="2"/>
        <v>6</v>
      </c>
      <c r="I1128">
        <v>96.0</v>
      </c>
      <c r="J1128" t="str">
        <f t="shared" si="3"/>
        <v>304.8</v>
      </c>
      <c r="K1128" t="str">
        <f t="shared" si="4"/>
        <v>1002.792</v>
      </c>
      <c r="L1128" t="str">
        <f t="shared" si="5"/>
        <v>16.7132</v>
      </c>
      <c r="M1128" t="str">
        <f t="shared" si="6"/>
        <v>329</v>
      </c>
      <c r="N1128" t="s">
        <v>182</v>
      </c>
      <c r="O1128" t="s">
        <v>2054</v>
      </c>
    </row>
    <row r="1129" ht="15.75" customHeight="1">
      <c r="A1129">
        <v>1131.0</v>
      </c>
      <c r="B1129">
        <v>197.0</v>
      </c>
      <c r="C1129">
        <v>58.0</v>
      </c>
      <c r="D1129">
        <v>3.0</v>
      </c>
      <c r="E1129" t="str">
        <f t="shared" si="1"/>
        <v>2.721875</v>
      </c>
      <c r="F1129">
        <v>2.0</v>
      </c>
      <c r="G1129">
        <v>8.0</v>
      </c>
      <c r="H1129" t="str">
        <f t="shared" si="2"/>
        <v>16</v>
      </c>
      <c r="I1129">
        <v>153.0</v>
      </c>
      <c r="J1129" t="str">
        <f t="shared" si="3"/>
        <v>485.775</v>
      </c>
      <c r="K1129" t="str">
        <f t="shared" si="4"/>
        <v>2025.68175</v>
      </c>
      <c r="L1129" t="str">
        <f t="shared" si="5"/>
        <v>12.66051094</v>
      </c>
      <c r="M1129" t="str">
        <f t="shared" si="6"/>
        <v>417</v>
      </c>
      <c r="N1129" t="s">
        <v>187</v>
      </c>
      <c r="O1129" t="s">
        <v>2055</v>
      </c>
      <c r="P1129" t="s">
        <v>2056</v>
      </c>
    </row>
    <row r="1130" ht="15.75" customHeight="1">
      <c r="A1130">
        <v>1132.0</v>
      </c>
      <c r="B1130">
        <v>180.0</v>
      </c>
      <c r="C1130">
        <v>80.0</v>
      </c>
      <c r="D1130">
        <v>3.0</v>
      </c>
      <c r="E1130" t="str">
        <f t="shared" si="1"/>
        <v>3.34375</v>
      </c>
      <c r="F1130">
        <v>2.0</v>
      </c>
      <c r="G1130">
        <v>4.0</v>
      </c>
      <c r="H1130" t="str">
        <f t="shared" si="2"/>
        <v>8</v>
      </c>
      <c r="I1130">
        <v>105.0</v>
      </c>
      <c r="J1130" t="str">
        <f t="shared" si="3"/>
        <v>333.375</v>
      </c>
      <c r="K1130" t="str">
        <f t="shared" si="4"/>
        <v>1276.82625</v>
      </c>
      <c r="L1130" t="str">
        <f t="shared" si="5"/>
        <v>15.96032813</v>
      </c>
      <c r="M1130" t="str">
        <f t="shared" si="6"/>
        <v>383</v>
      </c>
      <c r="N1130" t="s">
        <v>182</v>
      </c>
      <c r="O1130" t="s">
        <v>2057</v>
      </c>
    </row>
    <row r="1131" ht="15.75" customHeight="1">
      <c r="A1131">
        <v>1133.0</v>
      </c>
      <c r="B1131">
        <v>35.0</v>
      </c>
      <c r="C1131">
        <v>190.0</v>
      </c>
      <c r="D1131">
        <v>3.0</v>
      </c>
      <c r="E1131" t="str">
        <f t="shared" si="1"/>
        <v>10.025</v>
      </c>
      <c r="F1131">
        <v>8.0</v>
      </c>
      <c r="G1131">
        <v>2.0</v>
      </c>
      <c r="H1131" t="str">
        <f t="shared" si="2"/>
        <v>16</v>
      </c>
      <c r="I1131">
        <v>126.0</v>
      </c>
      <c r="J1131" t="str">
        <f t="shared" si="3"/>
        <v>400.05</v>
      </c>
      <c r="K1131" t="str">
        <f t="shared" si="4"/>
        <v>1284.1605</v>
      </c>
      <c r="L1131" t="str">
        <f t="shared" si="5"/>
        <v>8.026003125</v>
      </c>
      <c r="M1131" t="str">
        <f t="shared" si="6"/>
        <v>321</v>
      </c>
      <c r="N1131" t="s">
        <v>182</v>
      </c>
      <c r="O1131" t="s">
        <v>2058</v>
      </c>
    </row>
    <row r="1132" ht="15.75" customHeight="1">
      <c r="A1132">
        <v>1134.0</v>
      </c>
      <c r="B1132">
        <v>135.0</v>
      </c>
      <c r="C1132">
        <v>55.0</v>
      </c>
      <c r="D1132">
        <v>3.0</v>
      </c>
      <c r="E1132" t="str">
        <f t="shared" si="1"/>
        <v>3.208333333</v>
      </c>
      <c r="F1132">
        <v>2.0</v>
      </c>
      <c r="G1132">
        <v>6.0</v>
      </c>
      <c r="H1132" t="str">
        <f t="shared" si="2"/>
        <v>12</v>
      </c>
      <c r="I1132">
        <v>110.0</v>
      </c>
      <c r="J1132" t="str">
        <f t="shared" si="3"/>
        <v>349.25</v>
      </c>
      <c r="K1132" t="str">
        <f t="shared" si="4"/>
        <v>1023.3025</v>
      </c>
      <c r="L1132" t="str">
        <f t="shared" si="5"/>
        <v>8.527520833</v>
      </c>
      <c r="M1132" t="str">
        <f t="shared" si="6"/>
        <v>293</v>
      </c>
      <c r="N1132" t="s">
        <v>182</v>
      </c>
      <c r="O1132" t="s">
        <v>2059</v>
      </c>
    </row>
    <row r="1133" ht="15.75" customHeight="1">
      <c r="A1133">
        <v>1135.0</v>
      </c>
      <c r="B1133">
        <v>147.0</v>
      </c>
      <c r="C1133">
        <v>71.0</v>
      </c>
      <c r="D1133">
        <v>3.0</v>
      </c>
      <c r="E1133" t="str">
        <f t="shared" si="1"/>
        <v>5.2</v>
      </c>
      <c r="F1133">
        <v>2.0</v>
      </c>
      <c r="G1133">
        <v>4.0</v>
      </c>
      <c r="H1133" t="str">
        <f t="shared" si="2"/>
        <v>8</v>
      </c>
      <c r="I1133">
        <v>96.0</v>
      </c>
      <c r="J1133" t="str">
        <f t="shared" si="3"/>
        <v>304.8</v>
      </c>
      <c r="K1133" t="str">
        <f t="shared" si="4"/>
        <v>966.216</v>
      </c>
      <c r="L1133" t="str">
        <f t="shared" si="5"/>
        <v>12.0777</v>
      </c>
      <c r="M1133" t="str">
        <f t="shared" si="6"/>
        <v>317</v>
      </c>
      <c r="N1133" t="s">
        <v>187</v>
      </c>
      <c r="O1133" t="s">
        <v>2060</v>
      </c>
      <c r="P1133" t="s">
        <v>2061</v>
      </c>
    </row>
    <row r="1134" ht="15.75" customHeight="1">
      <c r="A1134">
        <v>1136.0</v>
      </c>
      <c r="B1134">
        <v>108.0</v>
      </c>
      <c r="C1134">
        <v>123.0</v>
      </c>
      <c r="D1134">
        <v>3.0</v>
      </c>
      <c r="E1134" t="str">
        <f t="shared" si="1"/>
        <v>4</v>
      </c>
      <c r="F1134">
        <v>2.0</v>
      </c>
      <c r="G1134">
        <v>3.0</v>
      </c>
      <c r="H1134" t="str">
        <f t="shared" si="2"/>
        <v>6</v>
      </c>
      <c r="I1134">
        <v>120.0</v>
      </c>
      <c r="J1134" t="str">
        <f t="shared" si="3"/>
        <v>381</v>
      </c>
      <c r="K1134" t="str">
        <f t="shared" si="4"/>
        <v>910.59</v>
      </c>
      <c r="L1134" t="str">
        <f t="shared" si="5"/>
        <v>15.1765</v>
      </c>
      <c r="M1134" t="str">
        <f t="shared" si="6"/>
        <v>239</v>
      </c>
      <c r="N1134" t="s">
        <v>187</v>
      </c>
      <c r="O1134" t="s">
        <v>2062</v>
      </c>
      <c r="P1134" t="s">
        <v>2063</v>
      </c>
    </row>
    <row r="1135" ht="15.75" customHeight="1">
      <c r="A1135">
        <v>1137.0</v>
      </c>
      <c r="B1135">
        <v>137.5</v>
      </c>
      <c r="C1135">
        <v>114.0</v>
      </c>
      <c r="D1135">
        <v>3.0</v>
      </c>
      <c r="E1135" t="str">
        <f t="shared" si="1"/>
        <v>3.475</v>
      </c>
      <c r="F1135">
        <v>2.0</v>
      </c>
      <c r="G1135">
        <v>4.0</v>
      </c>
      <c r="H1135" t="str">
        <f t="shared" si="2"/>
        <v>8</v>
      </c>
      <c r="I1135">
        <v>148.0</v>
      </c>
      <c r="J1135" t="str">
        <f t="shared" si="3"/>
        <v>469.9</v>
      </c>
      <c r="K1135" t="str">
        <f t="shared" si="4"/>
        <v>1400.302</v>
      </c>
      <c r="L1135" t="str">
        <f t="shared" si="5"/>
        <v>17.503775</v>
      </c>
      <c r="M1135" t="str">
        <f t="shared" si="6"/>
        <v>298</v>
      </c>
      <c r="N1135" t="s">
        <v>187</v>
      </c>
      <c r="O1135" t="s">
        <v>2064</v>
      </c>
      <c r="P1135" t="s">
        <v>2065</v>
      </c>
    </row>
    <row r="1136" ht="15.75" customHeight="1">
      <c r="A1136">
        <v>1138.0</v>
      </c>
      <c r="B1136">
        <v>92.0</v>
      </c>
      <c r="C1136">
        <v>105.0</v>
      </c>
      <c r="D1136">
        <v>3.0</v>
      </c>
      <c r="E1136" t="str">
        <f t="shared" si="1"/>
        <v>2.95</v>
      </c>
      <c r="F1136">
        <v>4.0</v>
      </c>
      <c r="G1136">
        <v>3.0</v>
      </c>
      <c r="H1136" t="str">
        <f t="shared" si="2"/>
        <v>12</v>
      </c>
      <c r="I1136">
        <v>102.0</v>
      </c>
      <c r="J1136" t="str">
        <f t="shared" si="3"/>
        <v>323.85</v>
      </c>
      <c r="K1136" t="str">
        <f t="shared" si="4"/>
        <v>1285.6845</v>
      </c>
      <c r="L1136" t="str">
        <f t="shared" si="5"/>
        <v>10.7140375</v>
      </c>
      <c r="M1136" t="str">
        <f t="shared" si="6"/>
        <v>397</v>
      </c>
      <c r="N1136" t="s">
        <v>187</v>
      </c>
      <c r="O1136" t="s">
        <v>2066</v>
      </c>
      <c r="P1136" t="s">
        <v>2067</v>
      </c>
    </row>
    <row r="1137" ht="15.75" customHeight="1">
      <c r="A1137">
        <v>1139.0</v>
      </c>
      <c r="B1137">
        <v>66.0</v>
      </c>
      <c r="C1137">
        <v>126.0</v>
      </c>
      <c r="D1137">
        <v>3.0</v>
      </c>
      <c r="E1137" t="str">
        <f t="shared" si="1"/>
        <v>7.35</v>
      </c>
      <c r="F1137">
        <v>4.0</v>
      </c>
      <c r="G1137">
        <v>2.0</v>
      </c>
      <c r="H1137" t="str">
        <f t="shared" si="2"/>
        <v>8</v>
      </c>
      <c r="I1137">
        <v>84.0</v>
      </c>
      <c r="J1137" t="str">
        <f t="shared" si="3"/>
        <v>266.7</v>
      </c>
      <c r="K1137" t="str">
        <f t="shared" si="4"/>
        <v>781.431</v>
      </c>
      <c r="L1137" t="str">
        <f t="shared" si="5"/>
        <v>9.7678875</v>
      </c>
      <c r="M1137" t="str">
        <f t="shared" si="6"/>
        <v>293</v>
      </c>
      <c r="N1137" t="s">
        <v>187</v>
      </c>
      <c r="O1137" t="s">
        <v>2068</v>
      </c>
      <c r="P1137" t="s">
        <v>2069</v>
      </c>
    </row>
    <row r="1138" ht="15.75" customHeight="1">
      <c r="A1138">
        <v>1140.0</v>
      </c>
      <c r="B1138">
        <v>112.0</v>
      </c>
      <c r="C1138">
        <v>72.0</v>
      </c>
      <c r="D1138">
        <v>3.0</v>
      </c>
      <c r="E1138" t="str">
        <f t="shared" si="1"/>
        <v>4.2</v>
      </c>
      <c r="F1138">
        <v>2.0</v>
      </c>
      <c r="G1138">
        <v>5.0</v>
      </c>
      <c r="H1138" t="str">
        <f t="shared" si="2"/>
        <v>10</v>
      </c>
      <c r="I1138">
        <v>120.0</v>
      </c>
      <c r="J1138" t="str">
        <f t="shared" si="3"/>
        <v>381</v>
      </c>
      <c r="K1138" t="str">
        <f t="shared" si="4"/>
        <v>941.07</v>
      </c>
      <c r="L1138" t="str">
        <f t="shared" si="5"/>
        <v>9.4107</v>
      </c>
      <c r="M1138" t="str">
        <f t="shared" si="6"/>
        <v>247</v>
      </c>
      <c r="N1138" t="s">
        <v>187</v>
      </c>
      <c r="O1138" t="s">
        <v>2070</v>
      </c>
      <c r="P1138" t="s">
        <v>2071</v>
      </c>
    </row>
    <row r="1139" ht="15.75" customHeight="1">
      <c r="A1139">
        <v>1141.0</v>
      </c>
      <c r="B1139">
        <v>125.5</v>
      </c>
      <c r="C1139">
        <v>143.0</v>
      </c>
      <c r="D1139">
        <v>3.0</v>
      </c>
      <c r="E1139" t="str">
        <f t="shared" si="1"/>
        <v>8.341666667</v>
      </c>
      <c r="F1139">
        <v>2.0</v>
      </c>
      <c r="G1139">
        <v>3.0</v>
      </c>
      <c r="H1139" t="str">
        <f t="shared" si="2"/>
        <v>6</v>
      </c>
      <c r="I1139">
        <v>143.0</v>
      </c>
      <c r="J1139" t="str">
        <f t="shared" si="3"/>
        <v>454.025</v>
      </c>
      <c r="K1139" t="str">
        <f t="shared" si="4"/>
        <v>1244.0285</v>
      </c>
      <c r="L1139" t="str">
        <f t="shared" si="5"/>
        <v>20.73380833</v>
      </c>
      <c r="M1139" t="str">
        <f t="shared" si="6"/>
        <v>274</v>
      </c>
      <c r="N1139" t="s">
        <v>187</v>
      </c>
      <c r="O1139" t="s">
        <v>2072</v>
      </c>
      <c r="P1139" t="s">
        <v>2073</v>
      </c>
    </row>
    <row r="1140" ht="15.75" customHeight="1">
      <c r="A1140">
        <v>1142.0</v>
      </c>
      <c r="B1140">
        <v>67.0</v>
      </c>
      <c r="C1140">
        <v>235.0</v>
      </c>
      <c r="D1140">
        <v>3.0</v>
      </c>
      <c r="E1140" t="str">
        <f t="shared" si="1"/>
        <v>7.8875</v>
      </c>
      <c r="F1140">
        <v>5.0</v>
      </c>
      <c r="G1140">
        <v>2.0</v>
      </c>
      <c r="H1140" t="str">
        <f t="shared" si="2"/>
        <v>10</v>
      </c>
      <c r="I1140">
        <v>153.0</v>
      </c>
      <c r="J1140" t="str">
        <f t="shared" si="3"/>
        <v>485.775</v>
      </c>
      <c r="K1140" t="str">
        <f t="shared" si="4"/>
        <v>1782.79425</v>
      </c>
      <c r="L1140" t="str">
        <f t="shared" si="5"/>
        <v>17.8279425</v>
      </c>
      <c r="M1140" t="str">
        <f t="shared" si="6"/>
        <v>367</v>
      </c>
      <c r="N1140" t="s">
        <v>182</v>
      </c>
      <c r="O1140" t="s">
        <v>2074</v>
      </c>
    </row>
    <row r="1141" ht="15.75" customHeight="1">
      <c r="A1141">
        <v>1143.0</v>
      </c>
      <c r="B1141">
        <v>84.0</v>
      </c>
      <c r="C1141">
        <v>450.0</v>
      </c>
      <c r="D1141">
        <v>3.0</v>
      </c>
      <c r="E1141" t="str">
        <f t="shared" si="1"/>
        <v>4.025</v>
      </c>
      <c r="F1141">
        <v>3.0</v>
      </c>
      <c r="G1141">
        <v>1.0</v>
      </c>
      <c r="H1141" t="str">
        <f t="shared" si="2"/>
        <v>3</v>
      </c>
      <c r="I1141">
        <v>143.0</v>
      </c>
      <c r="J1141" t="str">
        <f t="shared" si="3"/>
        <v>454.025</v>
      </c>
      <c r="K1141" t="str">
        <f t="shared" si="4"/>
        <v>1262.1895</v>
      </c>
      <c r="L1141" t="str">
        <f t="shared" si="5"/>
        <v>42.07298333</v>
      </c>
      <c r="M1141" t="str">
        <f t="shared" si="6"/>
        <v>278</v>
      </c>
      <c r="N1141" t="s">
        <v>182</v>
      </c>
      <c r="O1141" t="s">
        <v>2075</v>
      </c>
    </row>
    <row r="1142" ht="15.75" customHeight="1">
      <c r="A1142">
        <v>1144.0</v>
      </c>
      <c r="B1142">
        <v>148.6</v>
      </c>
      <c r="C1142">
        <v>107.0</v>
      </c>
      <c r="D1142">
        <v>3.0</v>
      </c>
      <c r="E1142" t="str">
        <f t="shared" si="1"/>
        <v>4.125</v>
      </c>
      <c r="F1142">
        <v>2.0</v>
      </c>
      <c r="G1142">
        <v>3.0</v>
      </c>
      <c r="H1142" t="str">
        <f t="shared" si="2"/>
        <v>6</v>
      </c>
      <c r="I1142">
        <v>105.0</v>
      </c>
      <c r="J1142" t="str">
        <f t="shared" si="3"/>
        <v>333.375</v>
      </c>
      <c r="K1142" t="str">
        <f t="shared" si="4"/>
        <v>1067.46675</v>
      </c>
      <c r="L1142" t="str">
        <f t="shared" si="5"/>
        <v>17.7911125</v>
      </c>
      <c r="M1142" t="str">
        <f t="shared" si="6"/>
        <v>320.2</v>
      </c>
      <c r="N1142" t="s">
        <v>187</v>
      </c>
      <c r="O1142" t="s">
        <v>2076</v>
      </c>
      <c r="P1142" t="s">
        <v>2077</v>
      </c>
    </row>
    <row r="1143" ht="15.75" customHeight="1">
      <c r="A1143">
        <v>1145.0</v>
      </c>
      <c r="B1143">
        <v>110.0</v>
      </c>
      <c r="C1143">
        <v>200.0</v>
      </c>
      <c r="D1143">
        <v>3.0</v>
      </c>
      <c r="E1143" t="str">
        <f t="shared" si="1"/>
        <v>9.55</v>
      </c>
      <c r="F1143">
        <v>3.0</v>
      </c>
      <c r="G1143">
        <v>2.0</v>
      </c>
      <c r="H1143" t="str">
        <f t="shared" si="2"/>
        <v>6</v>
      </c>
      <c r="I1143">
        <v>132.0</v>
      </c>
      <c r="J1143" t="str">
        <f t="shared" si="3"/>
        <v>419.1</v>
      </c>
      <c r="K1143" t="str">
        <f t="shared" si="4"/>
        <v>1491.996</v>
      </c>
      <c r="L1143" t="str">
        <f t="shared" si="5"/>
        <v>24.8666</v>
      </c>
      <c r="M1143" t="str">
        <f t="shared" si="6"/>
        <v>356</v>
      </c>
      <c r="N1143" t="s">
        <v>182</v>
      </c>
      <c r="O1143" t="s">
        <v>2078</v>
      </c>
      <c r="P1143" t="s">
        <v>2079</v>
      </c>
    </row>
    <row r="1144" ht="15.75" customHeight="1">
      <c r="A1144">
        <v>1146.0</v>
      </c>
      <c r="B1144">
        <v>70.0</v>
      </c>
      <c r="C1144">
        <v>120.0</v>
      </c>
      <c r="D1144">
        <v>3.0</v>
      </c>
      <c r="E1144" t="str">
        <f t="shared" si="1"/>
        <v>7</v>
      </c>
      <c r="F1144">
        <v>4.0</v>
      </c>
      <c r="G1144">
        <v>3.0</v>
      </c>
      <c r="H1144" t="str">
        <f t="shared" si="2"/>
        <v>12</v>
      </c>
      <c r="I1144">
        <v>120.0</v>
      </c>
      <c r="J1144" t="str">
        <f t="shared" si="3"/>
        <v>381</v>
      </c>
      <c r="K1144" t="str">
        <f t="shared" si="4"/>
        <v>1177.29</v>
      </c>
      <c r="L1144" t="str">
        <f t="shared" si="5"/>
        <v>9.81075</v>
      </c>
      <c r="M1144" t="str">
        <f t="shared" si="6"/>
        <v>309</v>
      </c>
      <c r="N1144" t="s">
        <v>182</v>
      </c>
      <c r="O1144" t="s">
        <v>2080</v>
      </c>
      <c r="P1144" t="s">
        <v>2081</v>
      </c>
    </row>
    <row r="1145" ht="15.75" customHeight="1">
      <c r="A1145">
        <v>1147.0</v>
      </c>
      <c r="B1145">
        <v>200.0</v>
      </c>
      <c r="C1145">
        <v>240.0</v>
      </c>
      <c r="D1145">
        <v>3.0</v>
      </c>
      <c r="E1145" t="str">
        <f t="shared" si="1"/>
        <v>2.8875</v>
      </c>
      <c r="F1145">
        <v>2.0</v>
      </c>
      <c r="G1145">
        <v>2.0</v>
      </c>
      <c r="H1145" t="str">
        <f t="shared" si="2"/>
        <v>4</v>
      </c>
      <c r="I1145">
        <v>153.0</v>
      </c>
      <c r="J1145" t="str">
        <f t="shared" si="3"/>
        <v>485.775</v>
      </c>
      <c r="K1145" t="str">
        <f t="shared" si="4"/>
        <v>2054.82825</v>
      </c>
      <c r="L1145" t="str">
        <f t="shared" si="5"/>
        <v>51.37070625</v>
      </c>
      <c r="M1145" t="str">
        <f t="shared" si="6"/>
        <v>423</v>
      </c>
      <c r="N1145" t="s">
        <v>182</v>
      </c>
      <c r="O1145" t="s">
        <v>2082</v>
      </c>
      <c r="P1145" t="s">
        <v>2083</v>
      </c>
    </row>
    <row r="1146" ht="15.75" customHeight="1">
      <c r="A1146">
        <v>1148.0</v>
      </c>
      <c r="B1146">
        <v>150.0</v>
      </c>
      <c r="C1146">
        <v>240.0</v>
      </c>
      <c r="D1146">
        <v>3.0</v>
      </c>
      <c r="E1146" t="str">
        <f t="shared" si="1"/>
        <v>2.8875</v>
      </c>
      <c r="F1146">
        <v>2.0</v>
      </c>
      <c r="G1146">
        <v>2.0</v>
      </c>
      <c r="H1146" t="str">
        <f t="shared" si="2"/>
        <v>4</v>
      </c>
      <c r="I1146">
        <v>153.0</v>
      </c>
      <c r="J1146" t="str">
        <f t="shared" si="3"/>
        <v>485.775</v>
      </c>
      <c r="K1146" t="str">
        <f t="shared" si="4"/>
        <v>1569.05325</v>
      </c>
      <c r="L1146" t="str">
        <f t="shared" si="5"/>
        <v>39.22633125</v>
      </c>
      <c r="M1146" t="str">
        <f t="shared" si="6"/>
        <v>323</v>
      </c>
      <c r="N1146" t="s">
        <v>182</v>
      </c>
      <c r="O1146" t="s">
        <v>2084</v>
      </c>
      <c r="P1146" t="s">
        <v>2085</v>
      </c>
    </row>
    <row r="1147" ht="15.75" customHeight="1">
      <c r="A1147">
        <v>1149.0</v>
      </c>
      <c r="B1147">
        <v>90.0</v>
      </c>
      <c r="C1147">
        <v>200.0</v>
      </c>
      <c r="D1147">
        <v>3.0</v>
      </c>
      <c r="E1147" t="str">
        <f t="shared" si="1"/>
        <v>9.55</v>
      </c>
      <c r="F1147">
        <v>4.0</v>
      </c>
      <c r="G1147">
        <v>2.0</v>
      </c>
      <c r="H1147" t="str">
        <f t="shared" si="2"/>
        <v>8</v>
      </c>
      <c r="I1147">
        <v>132.0</v>
      </c>
      <c r="J1147" t="str">
        <f t="shared" si="3"/>
        <v>419.1</v>
      </c>
      <c r="K1147" t="str">
        <f t="shared" si="4"/>
        <v>1630.299</v>
      </c>
      <c r="L1147" t="str">
        <f t="shared" si="5"/>
        <v>20.3787375</v>
      </c>
      <c r="M1147" t="str">
        <f t="shared" si="6"/>
        <v>389</v>
      </c>
      <c r="N1147" t="s">
        <v>182</v>
      </c>
      <c r="O1147" t="s">
        <v>2086</v>
      </c>
      <c r="P1147" t="s">
        <v>2087</v>
      </c>
    </row>
    <row r="1148" ht="15.75" customHeight="1">
      <c r="A1148">
        <v>1150.0</v>
      </c>
      <c r="B1148">
        <v>63.0</v>
      </c>
      <c r="C1148">
        <v>32.0</v>
      </c>
      <c r="D1148">
        <v>3.0</v>
      </c>
      <c r="E1148" t="str">
        <f t="shared" si="1"/>
        <v>2.925</v>
      </c>
      <c r="F1148">
        <v>5.0</v>
      </c>
      <c r="G1148">
        <v>8.0</v>
      </c>
      <c r="H1148" t="str">
        <f t="shared" si="2"/>
        <v>40</v>
      </c>
      <c r="I1148">
        <v>88.0</v>
      </c>
      <c r="J1148" t="str">
        <f t="shared" si="3"/>
        <v>279.4</v>
      </c>
      <c r="K1148" t="str">
        <f t="shared" si="4"/>
        <v>969.518</v>
      </c>
      <c r="L1148" t="str">
        <f t="shared" si="5"/>
        <v>2.423795</v>
      </c>
      <c r="M1148" t="str">
        <f t="shared" si="6"/>
        <v>347</v>
      </c>
      <c r="N1148" t="s">
        <v>187</v>
      </c>
      <c r="O1148" t="s">
        <v>2088</v>
      </c>
      <c r="P1148" t="s">
        <v>2089</v>
      </c>
    </row>
    <row r="1149" ht="15.75" customHeight="1">
      <c r="A1149">
        <v>1151.0</v>
      </c>
      <c r="B1149">
        <v>130.0</v>
      </c>
      <c r="C1149">
        <v>119.0</v>
      </c>
      <c r="D1149">
        <v>3.0</v>
      </c>
      <c r="E1149" t="str">
        <f t="shared" si="1"/>
        <v>2.44375</v>
      </c>
      <c r="F1149">
        <v>2.0</v>
      </c>
      <c r="G1149">
        <v>4.0</v>
      </c>
      <c r="H1149" t="str">
        <f t="shared" si="2"/>
        <v>8</v>
      </c>
      <c r="I1149">
        <v>153.0</v>
      </c>
      <c r="J1149" t="str">
        <f t="shared" si="3"/>
        <v>485.775</v>
      </c>
      <c r="K1149" t="str">
        <f t="shared" si="4"/>
        <v>1374.74325</v>
      </c>
      <c r="L1149" t="str">
        <f t="shared" si="5"/>
        <v>17.18429063</v>
      </c>
      <c r="M1149" t="str">
        <f t="shared" si="6"/>
        <v>283</v>
      </c>
      <c r="N1149" t="s">
        <v>182</v>
      </c>
      <c r="O1149" t="s">
        <v>2090</v>
      </c>
      <c r="P1149" t="s">
        <v>2091</v>
      </c>
    </row>
    <row r="1150" ht="15.75" customHeight="1">
      <c r="A1150">
        <v>1152.0</v>
      </c>
      <c r="B1150">
        <v>153.0</v>
      </c>
      <c r="C1150">
        <v>126.0</v>
      </c>
      <c r="D1150">
        <v>3.0</v>
      </c>
      <c r="E1150" t="str">
        <f t="shared" si="1"/>
        <v>4.96875</v>
      </c>
      <c r="F1150">
        <v>2.0</v>
      </c>
      <c r="G1150">
        <v>4.0</v>
      </c>
      <c r="H1150" t="str">
        <f t="shared" si="2"/>
        <v>8</v>
      </c>
      <c r="I1150">
        <v>165.0</v>
      </c>
      <c r="J1150" t="str">
        <f t="shared" si="3"/>
        <v>523.875</v>
      </c>
      <c r="K1150" t="str">
        <f t="shared" si="4"/>
        <v>1723.54875</v>
      </c>
      <c r="L1150" t="str">
        <f t="shared" si="5"/>
        <v>21.54435938</v>
      </c>
      <c r="M1150" t="str">
        <f t="shared" si="6"/>
        <v>329</v>
      </c>
      <c r="N1150" t="s">
        <v>182</v>
      </c>
      <c r="O1150" t="s">
        <v>2092</v>
      </c>
      <c r="P1150" t="s">
        <v>2093</v>
      </c>
    </row>
    <row r="1151" ht="15.75" customHeight="1">
      <c r="A1151">
        <v>1153.0</v>
      </c>
      <c r="B1151">
        <v>60.0</v>
      </c>
      <c r="C1151">
        <v>45.0</v>
      </c>
      <c r="D1151">
        <v>3.0</v>
      </c>
      <c r="E1151" t="str">
        <f t="shared" si="1"/>
        <v>2.625</v>
      </c>
      <c r="F1151">
        <v>5.0</v>
      </c>
      <c r="G1151">
        <v>7.0</v>
      </c>
      <c r="H1151" t="str">
        <f t="shared" si="2"/>
        <v>35</v>
      </c>
      <c r="I1151">
        <v>105.0</v>
      </c>
      <c r="J1151" t="str">
        <f t="shared" si="3"/>
        <v>333.375</v>
      </c>
      <c r="K1151" t="str">
        <f t="shared" si="4"/>
        <v>1106.805</v>
      </c>
      <c r="L1151" t="str">
        <f t="shared" si="5"/>
        <v>3.1623</v>
      </c>
      <c r="M1151" t="str">
        <f t="shared" si="6"/>
        <v>332</v>
      </c>
      <c r="N1151" t="s">
        <v>187</v>
      </c>
      <c r="O1151" t="s">
        <v>2094</v>
      </c>
      <c r="P1151" s="126" t="s">
        <v>2095</v>
      </c>
    </row>
    <row r="1152" ht="15.75" customHeight="1">
      <c r="A1152">
        <v>1154.0</v>
      </c>
      <c r="B1152">
        <v>50.0</v>
      </c>
      <c r="C1152">
        <v>175.0</v>
      </c>
      <c r="D1152">
        <v>3.0</v>
      </c>
      <c r="E1152" t="str">
        <f t="shared" si="1"/>
        <v>11.26666667</v>
      </c>
      <c r="F1152">
        <v>7.0</v>
      </c>
      <c r="G1152">
        <v>3.0</v>
      </c>
      <c r="H1152" t="str">
        <f t="shared" si="2"/>
        <v>21</v>
      </c>
      <c r="I1152">
        <v>176.0</v>
      </c>
      <c r="J1152" t="str">
        <f t="shared" si="3"/>
        <v>558.8</v>
      </c>
      <c r="K1152" t="str">
        <f t="shared" si="4"/>
        <v>2168.144</v>
      </c>
      <c r="L1152" t="str">
        <f t="shared" si="5"/>
        <v>10.32449524</v>
      </c>
      <c r="M1152" t="str">
        <f t="shared" si="6"/>
        <v>388</v>
      </c>
      <c r="N1152" t="s">
        <v>182</v>
      </c>
      <c r="O1152" t="s">
        <v>2096</v>
      </c>
    </row>
    <row r="1153" ht="15.75" customHeight="1">
      <c r="A1153">
        <v>1155.0</v>
      </c>
      <c r="B1153">
        <v>30.0</v>
      </c>
      <c r="C1153">
        <v>135.0</v>
      </c>
      <c r="D1153">
        <v>3.0</v>
      </c>
      <c r="E1153" t="str">
        <f t="shared" si="1"/>
        <v>4.7</v>
      </c>
      <c r="F1153">
        <v>11.0</v>
      </c>
      <c r="G1153">
        <v>2.0</v>
      </c>
      <c r="H1153" t="str">
        <f t="shared" si="2"/>
        <v>22</v>
      </c>
      <c r="I1153">
        <v>88.0</v>
      </c>
      <c r="J1153" t="str">
        <f t="shared" si="3"/>
        <v>279.4</v>
      </c>
      <c r="K1153" t="str">
        <f t="shared" si="4"/>
        <v>1061.72</v>
      </c>
      <c r="L1153" t="str">
        <f t="shared" si="5"/>
        <v>4.826</v>
      </c>
      <c r="M1153" t="str">
        <f t="shared" si="6"/>
        <v>380</v>
      </c>
      <c r="N1153" t="s">
        <v>182</v>
      </c>
      <c r="O1153" t="s">
        <v>2097</v>
      </c>
      <c r="P1153" t="s">
        <v>2098</v>
      </c>
    </row>
    <row r="1154" ht="15.75" customHeight="1">
      <c r="A1154">
        <v>1156.0</v>
      </c>
      <c r="B1154">
        <v>13.0</v>
      </c>
      <c r="C1154">
        <v>37.0</v>
      </c>
      <c r="D1154">
        <v>3.0</v>
      </c>
      <c r="E1154" t="str">
        <f t="shared" si="1"/>
        <v>2.914285714</v>
      </c>
      <c r="F1154">
        <v>15.0</v>
      </c>
      <c r="G1154">
        <v>7.0</v>
      </c>
      <c r="H1154" t="str">
        <f t="shared" si="2"/>
        <v>105</v>
      </c>
      <c r="I1154">
        <v>88.0</v>
      </c>
      <c r="J1154" t="str">
        <f t="shared" si="3"/>
        <v>279.4</v>
      </c>
      <c r="K1154" t="str">
        <f t="shared" si="4"/>
        <v>718.058</v>
      </c>
      <c r="L1154" t="str">
        <f t="shared" si="5"/>
        <v>0.6838647619</v>
      </c>
      <c r="M1154" t="str">
        <f t="shared" si="6"/>
        <v>257</v>
      </c>
      <c r="N1154" t="s">
        <v>182</v>
      </c>
      <c r="O1154" t="s">
        <v>2099</v>
      </c>
    </row>
    <row r="1155" ht="15.75" customHeight="1">
      <c r="A1155">
        <v>1157.0</v>
      </c>
      <c r="B1155">
        <v>130.0</v>
      </c>
      <c r="C1155">
        <v>168.0</v>
      </c>
      <c r="D1155">
        <v>3.0</v>
      </c>
      <c r="E1155" t="str">
        <f t="shared" si="1"/>
        <v>3.45</v>
      </c>
      <c r="F1155">
        <v>2.0</v>
      </c>
      <c r="G1155">
        <v>2.0</v>
      </c>
      <c r="H1155" t="str">
        <f t="shared" si="2"/>
        <v>4</v>
      </c>
      <c r="I1155">
        <v>108.0</v>
      </c>
      <c r="J1155" t="str">
        <f t="shared" si="3"/>
        <v>342.9</v>
      </c>
      <c r="K1155" t="str">
        <f t="shared" si="4"/>
        <v>970.407</v>
      </c>
      <c r="L1155" t="str">
        <f t="shared" si="5"/>
        <v>24.260175</v>
      </c>
      <c r="M1155" t="str">
        <f t="shared" si="6"/>
        <v>283</v>
      </c>
      <c r="N1155" t="s">
        <v>182</v>
      </c>
      <c r="O1155" t="s">
        <v>2100</v>
      </c>
    </row>
    <row r="1156" ht="15.75" customHeight="1">
      <c r="A1156">
        <v>1158.0</v>
      </c>
      <c r="B1156">
        <v>130.0</v>
      </c>
      <c r="C1156">
        <v>100.0</v>
      </c>
      <c r="D1156">
        <v>3.0</v>
      </c>
      <c r="E1156" t="str">
        <f t="shared" si="1"/>
        <v>3.716666667</v>
      </c>
      <c r="F1156">
        <v>2.0</v>
      </c>
      <c r="G1156">
        <v>3.0</v>
      </c>
      <c r="H1156" t="str">
        <f t="shared" si="2"/>
        <v>6</v>
      </c>
      <c r="I1156">
        <v>98.0</v>
      </c>
      <c r="J1156" t="str">
        <f t="shared" si="3"/>
        <v>311.15</v>
      </c>
      <c r="K1156" t="str">
        <f t="shared" si="4"/>
        <v>880.5545</v>
      </c>
      <c r="L1156" t="str">
        <f t="shared" si="5"/>
        <v>14.67590833</v>
      </c>
      <c r="M1156" t="str">
        <f t="shared" si="6"/>
        <v>283</v>
      </c>
      <c r="N1156" t="s">
        <v>182</v>
      </c>
      <c r="O1156" t="s">
        <v>2101</v>
      </c>
      <c r="P1156" t="s">
        <v>2102</v>
      </c>
    </row>
    <row r="1157" ht="15.75" customHeight="1">
      <c r="A1157">
        <v>1159.0</v>
      </c>
      <c r="B1157">
        <v>60.0</v>
      </c>
      <c r="C1157">
        <v>104.0</v>
      </c>
      <c r="D1157">
        <v>3.0</v>
      </c>
      <c r="E1157" t="str">
        <f t="shared" si="1"/>
        <v>3.15625</v>
      </c>
      <c r="F1157">
        <v>6.0</v>
      </c>
      <c r="G1157">
        <v>4.0</v>
      </c>
      <c r="H1157" t="str">
        <f t="shared" si="2"/>
        <v>24</v>
      </c>
      <c r="I1157">
        <v>135.0</v>
      </c>
      <c r="J1157" t="str">
        <f t="shared" si="3"/>
        <v>428.625</v>
      </c>
      <c r="K1157" t="str">
        <f t="shared" si="4"/>
        <v>1693.06875</v>
      </c>
      <c r="L1157" t="str">
        <f t="shared" si="5"/>
        <v>7.054453125</v>
      </c>
      <c r="M1157" t="str">
        <f t="shared" si="6"/>
        <v>395</v>
      </c>
      <c r="N1157" t="s">
        <v>187</v>
      </c>
      <c r="O1157" t="s">
        <v>2103</v>
      </c>
    </row>
    <row r="1158" ht="15.75" customHeight="1">
      <c r="A1158">
        <v>1160.0</v>
      </c>
      <c r="B1158">
        <v>56.0</v>
      </c>
      <c r="C1158">
        <v>56.0</v>
      </c>
      <c r="D1158">
        <v>3.0</v>
      </c>
      <c r="E1158" t="str">
        <f t="shared" si="1"/>
        <v>2.7375</v>
      </c>
      <c r="F1158">
        <v>3.0</v>
      </c>
      <c r="G1158">
        <v>8.0</v>
      </c>
      <c r="H1158" t="str">
        <f t="shared" si="2"/>
        <v>24</v>
      </c>
      <c r="I1158">
        <v>148.0</v>
      </c>
      <c r="J1158" t="str">
        <f t="shared" si="3"/>
        <v>469.9</v>
      </c>
      <c r="K1158" t="str">
        <f t="shared" si="4"/>
        <v>911.606</v>
      </c>
      <c r="L1158" t="str">
        <f t="shared" si="5"/>
        <v>3.798358333</v>
      </c>
      <c r="M1158" t="str">
        <f t="shared" si="6"/>
        <v>194</v>
      </c>
      <c r="N1158" t="s">
        <v>187</v>
      </c>
      <c r="O1158" t="s">
        <v>2104</v>
      </c>
      <c r="P1158" t="s">
        <v>2105</v>
      </c>
    </row>
    <row r="1159" ht="15.75" customHeight="1">
      <c r="A1159">
        <v>1161.0</v>
      </c>
      <c r="B1159">
        <v>80.0</v>
      </c>
      <c r="C1159">
        <v>80.0</v>
      </c>
      <c r="D1159">
        <v>3.0</v>
      </c>
      <c r="E1159" t="str">
        <f t="shared" si="1"/>
        <v>3.34375</v>
      </c>
      <c r="F1159">
        <v>2.0</v>
      </c>
      <c r="G1159">
        <v>4.0</v>
      </c>
      <c r="H1159" t="str">
        <f t="shared" si="2"/>
        <v>8</v>
      </c>
      <c r="I1159">
        <v>105.0</v>
      </c>
      <c r="J1159" t="str">
        <f t="shared" si="3"/>
        <v>333.375</v>
      </c>
      <c r="K1159" t="str">
        <f t="shared" si="4"/>
        <v>610.07625</v>
      </c>
      <c r="L1159" t="str">
        <f t="shared" si="5"/>
        <v>7.625953125</v>
      </c>
      <c r="M1159" t="str">
        <f t="shared" si="6"/>
        <v>183</v>
      </c>
      <c r="N1159" t="s">
        <v>187</v>
      </c>
      <c r="O1159" t="s">
        <v>2106</v>
      </c>
      <c r="P1159" t="s">
        <v>2107</v>
      </c>
    </row>
    <row r="1160" ht="15.75" customHeight="1">
      <c r="A1160">
        <v>1162.0</v>
      </c>
      <c r="B1160">
        <v>75.0</v>
      </c>
      <c r="C1160">
        <v>50.0</v>
      </c>
      <c r="D1160">
        <v>3.0</v>
      </c>
      <c r="E1160" t="str">
        <f t="shared" si="1"/>
        <v>3.34</v>
      </c>
      <c r="F1160">
        <v>4.0</v>
      </c>
      <c r="G1160">
        <v>5.0</v>
      </c>
      <c r="H1160" t="str">
        <f t="shared" si="2"/>
        <v>20</v>
      </c>
      <c r="I1160">
        <v>84.0</v>
      </c>
      <c r="J1160" t="str">
        <f t="shared" si="3"/>
        <v>266.7</v>
      </c>
      <c r="K1160" t="str">
        <f t="shared" si="4"/>
        <v>877.443</v>
      </c>
      <c r="L1160" t="str">
        <f t="shared" si="5"/>
        <v>4.387215</v>
      </c>
      <c r="M1160" t="str">
        <f t="shared" si="6"/>
        <v>329</v>
      </c>
      <c r="N1160" t="s">
        <v>187</v>
      </c>
      <c r="O1160" t="s">
        <v>2108</v>
      </c>
      <c r="P1160" s="126" t="s">
        <v>2109</v>
      </c>
    </row>
    <row r="1161" ht="15.75" customHeight="1">
      <c r="A1161">
        <v>1163.0</v>
      </c>
      <c r="B1161">
        <v>140.0</v>
      </c>
      <c r="C1161">
        <v>140.0</v>
      </c>
      <c r="D1161">
        <v>3.0</v>
      </c>
      <c r="E1161" t="str">
        <f t="shared" si="1"/>
        <v>2.875</v>
      </c>
      <c r="F1161">
        <v>2.0</v>
      </c>
      <c r="G1161">
        <v>2.0</v>
      </c>
      <c r="H1161" t="str">
        <f t="shared" si="2"/>
        <v>4</v>
      </c>
      <c r="I1161">
        <v>90.0</v>
      </c>
      <c r="J1161" t="str">
        <f t="shared" si="3"/>
        <v>285.75</v>
      </c>
      <c r="K1161" t="str">
        <f t="shared" si="4"/>
        <v>865.8225</v>
      </c>
      <c r="L1161" t="str">
        <f t="shared" si="5"/>
        <v>21.6455625</v>
      </c>
      <c r="M1161" t="str">
        <f t="shared" si="6"/>
        <v>303</v>
      </c>
      <c r="N1161" t="s">
        <v>182</v>
      </c>
      <c r="O1161" t="s">
        <v>2110</v>
      </c>
    </row>
    <row r="1162" ht="15.75" customHeight="1">
      <c r="A1162">
        <v>1164.0</v>
      </c>
      <c r="B1162">
        <v>70.0</v>
      </c>
      <c r="C1162">
        <v>172.0</v>
      </c>
      <c r="D1162">
        <v>3.0</v>
      </c>
      <c r="E1162" t="str">
        <f t="shared" si="1"/>
        <v>2.625</v>
      </c>
      <c r="F1162">
        <v>4.0</v>
      </c>
      <c r="G1162">
        <v>2.0</v>
      </c>
      <c r="H1162" t="str">
        <f t="shared" si="2"/>
        <v>8</v>
      </c>
      <c r="I1162">
        <v>110.0</v>
      </c>
      <c r="J1162" t="str">
        <f t="shared" si="3"/>
        <v>349.25</v>
      </c>
      <c r="K1162" t="str">
        <f t="shared" si="4"/>
        <v>1079.1825</v>
      </c>
      <c r="L1162" t="str">
        <f t="shared" si="5"/>
        <v>13.48978125</v>
      </c>
      <c r="M1162" t="str">
        <f t="shared" si="6"/>
        <v>309</v>
      </c>
      <c r="N1162" t="s">
        <v>182</v>
      </c>
      <c r="O1162" t="s">
        <v>2111</v>
      </c>
    </row>
    <row r="1163" ht="15.75" customHeight="1">
      <c r="A1163">
        <v>1165.0</v>
      </c>
      <c r="B1163">
        <v>75.0</v>
      </c>
      <c r="C1163">
        <v>37.5</v>
      </c>
      <c r="D1163">
        <v>3.0</v>
      </c>
      <c r="E1163" t="str">
        <f t="shared" si="1"/>
        <v>3.321428571</v>
      </c>
      <c r="F1163">
        <v>4.0</v>
      </c>
      <c r="G1163">
        <v>7.0</v>
      </c>
      <c r="H1163" t="str">
        <f t="shared" si="2"/>
        <v>28</v>
      </c>
      <c r="I1163">
        <v>90.0</v>
      </c>
      <c r="J1163" t="str">
        <f t="shared" si="3"/>
        <v>285.75</v>
      </c>
      <c r="K1163" t="str">
        <f t="shared" si="4"/>
        <v>940.1175</v>
      </c>
      <c r="L1163" t="str">
        <f t="shared" si="5"/>
        <v>3.3575625</v>
      </c>
      <c r="M1163" t="str">
        <f t="shared" si="6"/>
        <v>329</v>
      </c>
      <c r="N1163" t="s">
        <v>187</v>
      </c>
      <c r="O1163" t="s">
        <v>2112</v>
      </c>
      <c r="P1163" t="s">
        <v>2113</v>
      </c>
    </row>
    <row r="1164" ht="15.75" customHeight="1">
      <c r="A1164">
        <v>1166.0</v>
      </c>
      <c r="B1164">
        <v>115.0</v>
      </c>
      <c r="C1164">
        <v>45.0</v>
      </c>
      <c r="D1164">
        <v>3.0</v>
      </c>
      <c r="E1164" t="str">
        <f t="shared" si="1"/>
        <v>2.625</v>
      </c>
      <c r="F1164">
        <v>2.0</v>
      </c>
      <c r="G1164">
        <v>6.0</v>
      </c>
      <c r="H1164" t="str">
        <f t="shared" si="2"/>
        <v>12</v>
      </c>
      <c r="I1164">
        <v>90.0</v>
      </c>
      <c r="J1164" t="str">
        <f t="shared" si="3"/>
        <v>285.75</v>
      </c>
      <c r="K1164" t="str">
        <f t="shared" si="4"/>
        <v>722.9475</v>
      </c>
      <c r="L1164" t="str">
        <f t="shared" si="5"/>
        <v>6.0245625</v>
      </c>
      <c r="M1164" t="str">
        <f t="shared" si="6"/>
        <v>253</v>
      </c>
      <c r="N1164" t="s">
        <v>182</v>
      </c>
      <c r="O1164" t="s">
        <v>2114</v>
      </c>
      <c r="P1164" t="s">
        <v>2115</v>
      </c>
    </row>
    <row r="1165" ht="15.75" customHeight="1">
      <c r="A1165">
        <v>1167.0</v>
      </c>
      <c r="B1165">
        <v>152.7</v>
      </c>
      <c r="C1165">
        <v>142.0</v>
      </c>
      <c r="D1165">
        <v>3.0</v>
      </c>
      <c r="E1165" t="str">
        <f t="shared" si="1"/>
        <v>10.4</v>
      </c>
      <c r="F1165">
        <v>2.0</v>
      </c>
      <c r="G1165">
        <v>2.0</v>
      </c>
      <c r="H1165" t="str">
        <f t="shared" si="2"/>
        <v>4</v>
      </c>
      <c r="I1165">
        <v>96.0</v>
      </c>
      <c r="J1165" t="str">
        <f t="shared" si="3"/>
        <v>304.8</v>
      </c>
      <c r="K1165" t="str">
        <f t="shared" si="4"/>
        <v>1000.9632</v>
      </c>
      <c r="L1165" t="str">
        <f t="shared" si="5"/>
        <v>25.02408</v>
      </c>
      <c r="M1165" t="str">
        <f t="shared" si="6"/>
        <v>328.4</v>
      </c>
      <c r="N1165" t="s">
        <v>182</v>
      </c>
      <c r="O1165" t="s">
        <v>2116</v>
      </c>
      <c r="P1165" t="s">
        <v>2117</v>
      </c>
    </row>
    <row r="1166" ht="15.75" customHeight="1">
      <c r="A1166">
        <v>1168.0</v>
      </c>
      <c r="B1166">
        <v>294.0</v>
      </c>
      <c r="C1166">
        <v>54.0</v>
      </c>
      <c r="D1166">
        <v>5.0</v>
      </c>
      <c r="E1166" t="str">
        <f t="shared" si="1"/>
        <v>3.15</v>
      </c>
      <c r="F1166">
        <v>1.0</v>
      </c>
      <c r="G1166">
        <v>5.0</v>
      </c>
      <c r="H1166" t="str">
        <f t="shared" si="2"/>
        <v>5</v>
      </c>
      <c r="I1166">
        <v>90.0</v>
      </c>
      <c r="J1166" t="str">
        <f t="shared" si="3"/>
        <v>285.75</v>
      </c>
      <c r="K1166" t="str">
        <f t="shared" si="4"/>
        <v>902.97</v>
      </c>
      <c r="L1166" t="str">
        <f t="shared" si="5"/>
        <v>18.0594</v>
      </c>
      <c r="M1166" t="str">
        <f t="shared" si="6"/>
        <v>316</v>
      </c>
      <c r="N1166" t="s">
        <v>182</v>
      </c>
      <c r="O1166" t="s">
        <v>2118</v>
      </c>
      <c r="P1166" t="s">
        <v>2119</v>
      </c>
    </row>
    <row r="1167" ht="15.75" customHeight="1">
      <c r="A1167">
        <v>1169.0</v>
      </c>
      <c r="B1167">
        <v>95.0</v>
      </c>
      <c r="C1167">
        <v>290.0</v>
      </c>
      <c r="D1167">
        <v>3.0</v>
      </c>
      <c r="E1167" t="str">
        <f t="shared" si="1"/>
        <v>14.8</v>
      </c>
      <c r="F1167">
        <v>4.0</v>
      </c>
      <c r="G1167">
        <v>1.0</v>
      </c>
      <c r="H1167" t="str">
        <f t="shared" si="2"/>
        <v>4</v>
      </c>
      <c r="I1167">
        <v>96.0</v>
      </c>
      <c r="J1167" t="str">
        <f t="shared" si="3"/>
        <v>304.8</v>
      </c>
      <c r="K1167" t="str">
        <f t="shared" si="4"/>
        <v>1246.632</v>
      </c>
      <c r="L1167" t="str">
        <f t="shared" si="5"/>
        <v>31.1658</v>
      </c>
      <c r="M1167" t="str">
        <f t="shared" si="6"/>
        <v>409</v>
      </c>
      <c r="N1167" t="s">
        <v>182</v>
      </c>
      <c r="O1167" t="s">
        <v>2120</v>
      </c>
    </row>
    <row r="1168" ht="15.75" customHeight="1">
      <c r="A1168">
        <v>1170.0</v>
      </c>
      <c r="B1168">
        <v>45.0</v>
      </c>
      <c r="C1168">
        <v>45.0</v>
      </c>
      <c r="D1168">
        <v>3.0</v>
      </c>
      <c r="E1168" t="str">
        <f t="shared" si="1"/>
        <v>2.625</v>
      </c>
      <c r="F1168">
        <v>6.0</v>
      </c>
      <c r="G1168">
        <v>6.0</v>
      </c>
      <c r="H1168" t="str">
        <f t="shared" si="2"/>
        <v>36</v>
      </c>
      <c r="I1168">
        <v>90.0</v>
      </c>
      <c r="J1168" t="str">
        <f t="shared" si="3"/>
        <v>285.75</v>
      </c>
      <c r="K1168" t="str">
        <f t="shared" si="4"/>
        <v>871.5375</v>
      </c>
      <c r="L1168" t="str">
        <f t="shared" si="5"/>
        <v>2.4209375</v>
      </c>
      <c r="M1168" t="str">
        <f t="shared" si="6"/>
        <v>305</v>
      </c>
      <c r="N1168" t="s">
        <v>187</v>
      </c>
      <c r="O1168" t="s">
        <v>2121</v>
      </c>
      <c r="P1168" t="s">
        <v>2122</v>
      </c>
    </row>
    <row r="1169" ht="15.75" customHeight="1">
      <c r="A1169">
        <v>1173.0</v>
      </c>
      <c r="B1169">
        <v>70.0</v>
      </c>
      <c r="C1169">
        <v>170.0</v>
      </c>
      <c r="D1169">
        <v>3.0</v>
      </c>
      <c r="E1169" t="str">
        <f t="shared" si="1"/>
        <v>4.625</v>
      </c>
      <c r="F1169">
        <v>4.0</v>
      </c>
      <c r="G1169">
        <v>2.0</v>
      </c>
      <c r="H1169" t="str">
        <f t="shared" si="2"/>
        <v>8</v>
      </c>
      <c r="I1169">
        <v>110.0</v>
      </c>
      <c r="J1169" t="str">
        <f t="shared" si="3"/>
        <v>349.25</v>
      </c>
      <c r="K1169" t="str">
        <f t="shared" si="4"/>
        <v>1079.1825</v>
      </c>
      <c r="L1169" t="str">
        <f t="shared" si="5"/>
        <v>13.48978125</v>
      </c>
      <c r="M1169" t="str">
        <f t="shared" si="6"/>
        <v>309</v>
      </c>
      <c r="N1169" t="s">
        <v>182</v>
      </c>
      <c r="O1169" t="s">
        <v>2123</v>
      </c>
    </row>
    <row r="1170" ht="15.75" customHeight="1">
      <c r="A1170">
        <v>1174.0</v>
      </c>
      <c r="B1170">
        <v>22.0</v>
      </c>
      <c r="C1170">
        <v>22.0</v>
      </c>
      <c r="D1170">
        <v>3.0</v>
      </c>
      <c r="E1170" t="str">
        <f t="shared" si="1"/>
        <v>3.4</v>
      </c>
      <c r="F1170">
        <v>12.0</v>
      </c>
      <c r="G1170">
        <v>12.0</v>
      </c>
      <c r="H1170" t="str">
        <f t="shared" si="2"/>
        <v>144</v>
      </c>
      <c r="I1170">
        <v>96.0</v>
      </c>
      <c r="J1170" t="str">
        <f t="shared" si="3"/>
        <v>304.8</v>
      </c>
      <c r="K1170" t="str">
        <f t="shared" si="4"/>
        <v>966.216</v>
      </c>
      <c r="L1170" t="str">
        <f t="shared" si="5"/>
        <v>0.6709833333</v>
      </c>
      <c r="M1170" t="str">
        <f t="shared" si="6"/>
        <v>317</v>
      </c>
      <c r="N1170" t="s">
        <v>187</v>
      </c>
      <c r="O1170" t="s">
        <v>2124</v>
      </c>
      <c r="P1170" t="s">
        <v>1180</v>
      </c>
    </row>
    <row r="1171" ht="15.75" customHeight="1">
      <c r="A1171">
        <v>1175.0</v>
      </c>
      <c r="B1171">
        <v>90.0</v>
      </c>
      <c r="C1171">
        <v>45.0</v>
      </c>
      <c r="D1171">
        <v>3.0</v>
      </c>
      <c r="E1171" t="str">
        <f t="shared" si="1"/>
        <v>2.625</v>
      </c>
      <c r="F1171">
        <v>4.0</v>
      </c>
      <c r="G1171">
        <v>7.0</v>
      </c>
      <c r="H1171" t="str">
        <f t="shared" si="2"/>
        <v>28</v>
      </c>
      <c r="I1171">
        <v>105.0</v>
      </c>
      <c r="J1171" t="str">
        <f t="shared" si="3"/>
        <v>333.375</v>
      </c>
      <c r="K1171" t="str">
        <f t="shared" si="4"/>
        <v>1296.82875</v>
      </c>
      <c r="L1171" t="str">
        <f t="shared" si="5"/>
        <v>4.63153125</v>
      </c>
      <c r="M1171" t="str">
        <f t="shared" si="6"/>
        <v>389</v>
      </c>
      <c r="N1171" t="s">
        <v>182</v>
      </c>
      <c r="O1171" t="s">
        <v>2125</v>
      </c>
    </row>
    <row r="1172" ht="15.75" customHeight="1">
      <c r="A1172">
        <v>1176.0</v>
      </c>
      <c r="B1172">
        <v>45.0</v>
      </c>
      <c r="C1172">
        <v>30.0</v>
      </c>
      <c r="D1172">
        <v>3.0</v>
      </c>
      <c r="E1172" t="str">
        <f t="shared" si="1"/>
        <v>3.3375</v>
      </c>
      <c r="F1172">
        <v>6.0</v>
      </c>
      <c r="G1172">
        <v>8.0</v>
      </c>
      <c r="H1172" t="str">
        <f t="shared" si="2"/>
        <v>48</v>
      </c>
      <c r="I1172">
        <v>84.0</v>
      </c>
      <c r="J1172" t="str">
        <f t="shared" si="3"/>
        <v>266.7</v>
      </c>
      <c r="K1172" t="str">
        <f t="shared" si="4"/>
        <v>813.435</v>
      </c>
      <c r="L1172" t="str">
        <f t="shared" si="5"/>
        <v>1.69465625</v>
      </c>
      <c r="M1172" t="str">
        <f t="shared" si="6"/>
        <v>305</v>
      </c>
      <c r="N1172" t="s">
        <v>187</v>
      </c>
      <c r="O1172" t="s">
        <v>2126</v>
      </c>
    </row>
    <row r="1173" ht="15.75" customHeight="1">
      <c r="A1173">
        <v>1177.0</v>
      </c>
      <c r="B1173">
        <v>72.0</v>
      </c>
      <c r="C1173">
        <v>33.0</v>
      </c>
      <c r="D1173">
        <v>3.0</v>
      </c>
      <c r="E1173" t="str">
        <f t="shared" si="1"/>
        <v>2.71875</v>
      </c>
      <c r="F1173">
        <v>4.0</v>
      </c>
      <c r="G1173">
        <v>8.0</v>
      </c>
      <c r="H1173" t="str">
        <f t="shared" si="2"/>
        <v>32</v>
      </c>
      <c r="I1173">
        <v>90.0</v>
      </c>
      <c r="J1173" t="str">
        <f t="shared" si="3"/>
        <v>285.75</v>
      </c>
      <c r="K1173" t="str">
        <f t="shared" si="4"/>
        <v>905.8275</v>
      </c>
      <c r="L1173" t="str">
        <f t="shared" si="5"/>
        <v>2.830710938</v>
      </c>
      <c r="M1173" t="str">
        <f t="shared" si="6"/>
        <v>317</v>
      </c>
      <c r="N1173" t="s">
        <v>187</v>
      </c>
      <c r="O1173" t="s">
        <v>2127</v>
      </c>
      <c r="P1173" t="s">
        <v>2128</v>
      </c>
    </row>
    <row r="1174" ht="15.75" customHeight="1">
      <c r="A1174">
        <v>1178.0</v>
      </c>
      <c r="B1174">
        <v>129.0</v>
      </c>
      <c r="C1174">
        <v>57.0</v>
      </c>
      <c r="D1174">
        <v>3.0</v>
      </c>
      <c r="E1174" t="str">
        <f t="shared" si="1"/>
        <v>3.96</v>
      </c>
      <c r="F1174">
        <v>2.0</v>
      </c>
      <c r="G1174">
        <v>5.0</v>
      </c>
      <c r="H1174" t="str">
        <f t="shared" si="2"/>
        <v>10</v>
      </c>
      <c r="I1174">
        <v>96.0</v>
      </c>
      <c r="J1174" t="str">
        <f t="shared" si="3"/>
        <v>304.8</v>
      </c>
      <c r="K1174" t="str">
        <f t="shared" si="4"/>
        <v>856.488</v>
      </c>
      <c r="L1174" t="str">
        <f t="shared" si="5"/>
        <v>8.56488</v>
      </c>
      <c r="M1174" t="str">
        <f t="shared" si="6"/>
        <v>281</v>
      </c>
      <c r="N1174" t="s">
        <v>187</v>
      </c>
      <c r="O1174" t="s">
        <v>2129</v>
      </c>
      <c r="P1174" t="s">
        <v>2130</v>
      </c>
    </row>
    <row r="1175" ht="15.75" customHeight="1">
      <c r="A1175">
        <v>1179.0</v>
      </c>
      <c r="B1175">
        <v>88.0</v>
      </c>
      <c r="C1175">
        <v>22.0</v>
      </c>
      <c r="D1175">
        <v>3.0</v>
      </c>
      <c r="E1175" t="str">
        <f t="shared" si="1"/>
        <v>2.822727273</v>
      </c>
      <c r="F1175">
        <v>4.0</v>
      </c>
      <c r="G1175">
        <v>11.0</v>
      </c>
      <c r="H1175" t="str">
        <f t="shared" si="2"/>
        <v>44</v>
      </c>
      <c r="I1175">
        <v>86.0</v>
      </c>
      <c r="J1175" t="str">
        <f t="shared" si="3"/>
        <v>273.05</v>
      </c>
      <c r="K1175" t="str">
        <f t="shared" si="4"/>
        <v>1040.3205</v>
      </c>
      <c r="L1175" t="str">
        <f t="shared" si="5"/>
        <v>2.364364773</v>
      </c>
      <c r="M1175" t="str">
        <f t="shared" si="6"/>
        <v>381</v>
      </c>
      <c r="N1175" t="s">
        <v>187</v>
      </c>
      <c r="O1175" t="s">
        <v>2131</v>
      </c>
    </row>
    <row r="1176" ht="15.75" customHeight="1">
      <c r="A1176">
        <v>1180.0</v>
      </c>
      <c r="B1176">
        <v>8.0</v>
      </c>
      <c r="C1176">
        <v>66.0</v>
      </c>
      <c r="D1176">
        <v>3.0</v>
      </c>
      <c r="E1176" t="str">
        <f t="shared" si="1"/>
        <v>2.58</v>
      </c>
      <c r="F1176">
        <v>8.0</v>
      </c>
      <c r="G1176">
        <v>5.0</v>
      </c>
      <c r="H1176" t="str">
        <f t="shared" si="2"/>
        <v>40</v>
      </c>
      <c r="I1176">
        <v>108.0</v>
      </c>
      <c r="J1176" t="str">
        <f t="shared" si="3"/>
        <v>342.9</v>
      </c>
      <c r="K1176" t="str">
        <f t="shared" si="4"/>
        <v>360.045</v>
      </c>
      <c r="L1176" t="str">
        <f t="shared" si="5"/>
        <v>0.9001125</v>
      </c>
      <c r="M1176" t="str">
        <f t="shared" si="6"/>
        <v>105</v>
      </c>
      <c r="N1176" t="s">
        <v>182</v>
      </c>
      <c r="O1176" t="s">
        <v>2132</v>
      </c>
    </row>
    <row r="1177" ht="15.75" customHeight="1">
      <c r="A1177">
        <v>1181.0</v>
      </c>
      <c r="B1177">
        <v>45.0</v>
      </c>
      <c r="C1177">
        <v>295.0</v>
      </c>
      <c r="D1177">
        <v>3.0</v>
      </c>
      <c r="E1177" t="str">
        <f t="shared" si="1"/>
        <v>9.8</v>
      </c>
      <c r="F1177">
        <v>6.0</v>
      </c>
      <c r="G1177">
        <v>1.0</v>
      </c>
      <c r="H1177" t="str">
        <f t="shared" si="2"/>
        <v>6</v>
      </c>
      <c r="I1177">
        <v>96.0</v>
      </c>
      <c r="J1177" t="str">
        <f t="shared" si="3"/>
        <v>304.8</v>
      </c>
      <c r="K1177" t="str">
        <f t="shared" si="4"/>
        <v>929.64</v>
      </c>
      <c r="L1177" t="str">
        <f t="shared" si="5"/>
        <v>15.494</v>
      </c>
      <c r="M1177" t="str">
        <f t="shared" si="6"/>
        <v>305</v>
      </c>
      <c r="N1177" t="s">
        <v>182</v>
      </c>
      <c r="O1177" t="s">
        <v>2133</v>
      </c>
      <c r="P1177" t="s">
        <v>2134</v>
      </c>
    </row>
    <row r="1178" ht="15.75" customHeight="1">
      <c r="A1178">
        <v>1182.0</v>
      </c>
      <c r="B1178">
        <v>114.0</v>
      </c>
      <c r="C1178">
        <v>150.0</v>
      </c>
      <c r="D1178">
        <v>3.0</v>
      </c>
      <c r="E1178" t="str">
        <f t="shared" si="1"/>
        <v>2.4</v>
      </c>
      <c r="F1178">
        <v>2.0</v>
      </c>
      <c r="G1178">
        <v>2.0</v>
      </c>
      <c r="H1178" t="str">
        <f t="shared" si="2"/>
        <v>4</v>
      </c>
      <c r="I1178">
        <v>96.0</v>
      </c>
      <c r="J1178" t="str">
        <f t="shared" si="3"/>
        <v>304.8</v>
      </c>
      <c r="K1178" t="str">
        <f t="shared" si="4"/>
        <v>765.048</v>
      </c>
      <c r="L1178" t="str">
        <f t="shared" si="5"/>
        <v>19.1262</v>
      </c>
      <c r="M1178" t="str">
        <f t="shared" si="6"/>
        <v>251</v>
      </c>
      <c r="N1178" t="s">
        <v>182</v>
      </c>
      <c r="O1178" t="s">
        <v>2135</v>
      </c>
      <c r="P1178" s="126" t="s">
        <v>2136</v>
      </c>
    </row>
    <row r="1179" ht="15.75" customHeight="1">
      <c r="A1179">
        <v>1183.0</v>
      </c>
      <c r="B1179">
        <v>69.85</v>
      </c>
      <c r="C1179">
        <v>137.583</v>
      </c>
      <c r="D1179">
        <v>3.0</v>
      </c>
      <c r="E1179" t="str">
        <f t="shared" si="1"/>
        <v>5.292</v>
      </c>
      <c r="F1179">
        <v>4.0</v>
      </c>
      <c r="G1179">
        <v>2.0</v>
      </c>
      <c r="H1179" t="str">
        <f t="shared" si="2"/>
        <v>8</v>
      </c>
      <c r="I1179">
        <v>90.0</v>
      </c>
      <c r="J1179" t="str">
        <f t="shared" si="3"/>
        <v>285.75</v>
      </c>
      <c r="K1179" t="str">
        <f t="shared" si="4"/>
        <v>881.253</v>
      </c>
      <c r="L1179" t="str">
        <f t="shared" si="5"/>
        <v>11.0156625</v>
      </c>
      <c r="M1179" t="str">
        <f t="shared" si="6"/>
        <v>308.4</v>
      </c>
      <c r="N1179" t="s">
        <v>187</v>
      </c>
      <c r="O1179" t="s">
        <v>2137</v>
      </c>
      <c r="P1179" t="s">
        <v>2138</v>
      </c>
    </row>
    <row r="1180" ht="15.75" customHeight="1">
      <c r="A1180">
        <v>1184.0</v>
      </c>
      <c r="B1180">
        <v>72.143</v>
      </c>
      <c r="C1180">
        <v>105.727</v>
      </c>
      <c r="D1180">
        <v>3.0</v>
      </c>
      <c r="E1180" t="str">
        <f t="shared" si="1"/>
        <v>5.398</v>
      </c>
      <c r="F1180">
        <v>4.0</v>
      </c>
      <c r="G1180">
        <v>3.0</v>
      </c>
      <c r="H1180" t="str">
        <f t="shared" si="2"/>
        <v>12</v>
      </c>
      <c r="I1180">
        <v>105.0</v>
      </c>
      <c r="J1180" t="str">
        <f t="shared" si="3"/>
        <v>333.375</v>
      </c>
      <c r="K1180" t="str">
        <f t="shared" si="4"/>
        <v>1058.705655</v>
      </c>
      <c r="L1180" t="str">
        <f t="shared" si="5"/>
        <v>8.822547125</v>
      </c>
      <c r="M1180" t="str">
        <f t="shared" si="6"/>
        <v>317.572</v>
      </c>
      <c r="N1180" t="s">
        <v>187</v>
      </c>
      <c r="O1180" t="s">
        <v>2139</v>
      </c>
      <c r="P1180" t="s">
        <v>2140</v>
      </c>
    </row>
    <row r="1181" ht="15.75" customHeight="1">
      <c r="A1181">
        <v>1185.0</v>
      </c>
      <c r="B1181">
        <v>43.0</v>
      </c>
      <c r="C1181">
        <v>300.0</v>
      </c>
      <c r="D1181">
        <v>3.0</v>
      </c>
      <c r="E1181" t="str">
        <f t="shared" si="1"/>
        <v>4.8</v>
      </c>
      <c r="F1181">
        <v>8.0</v>
      </c>
      <c r="G1181">
        <v>1.0</v>
      </c>
      <c r="H1181" t="str">
        <f t="shared" si="2"/>
        <v>8</v>
      </c>
      <c r="I1181">
        <v>96.0</v>
      </c>
      <c r="J1181" t="str">
        <f t="shared" si="3"/>
        <v>304.8</v>
      </c>
      <c r="K1181" t="str">
        <f t="shared" si="4"/>
        <v>1173.48</v>
      </c>
      <c r="L1181" t="str">
        <f t="shared" si="5"/>
        <v>14.6685</v>
      </c>
      <c r="M1181" t="str">
        <f t="shared" si="6"/>
        <v>385</v>
      </c>
      <c r="N1181" t="s">
        <v>182</v>
      </c>
      <c r="O1181" t="s">
        <v>2141</v>
      </c>
    </row>
    <row r="1182" ht="15.75" customHeight="1">
      <c r="A1182">
        <v>1186.0</v>
      </c>
      <c r="B1182">
        <v>58.0</v>
      </c>
      <c r="C1182">
        <v>260.0</v>
      </c>
      <c r="D1182">
        <v>3.0</v>
      </c>
      <c r="E1182" t="str">
        <f t="shared" si="1"/>
        <v>6.7</v>
      </c>
      <c r="F1182">
        <v>5.0</v>
      </c>
      <c r="G1182">
        <v>1.0</v>
      </c>
      <c r="H1182" t="str">
        <f t="shared" si="2"/>
        <v>5</v>
      </c>
      <c r="I1182">
        <v>84.0</v>
      </c>
      <c r="J1182" t="str">
        <f t="shared" si="3"/>
        <v>266.7</v>
      </c>
      <c r="K1182" t="str">
        <f t="shared" si="4"/>
        <v>858.774</v>
      </c>
      <c r="L1182" t="str">
        <f t="shared" si="5"/>
        <v>17.17548</v>
      </c>
      <c r="M1182" t="str">
        <f t="shared" si="6"/>
        <v>322</v>
      </c>
      <c r="N1182" t="s">
        <v>182</v>
      </c>
      <c r="O1182" t="s">
        <v>2142</v>
      </c>
    </row>
    <row r="1183" ht="15.75" customHeight="1">
      <c r="A1183">
        <v>1187.0</v>
      </c>
      <c r="B1183">
        <v>60.0</v>
      </c>
      <c r="C1183">
        <v>280.0</v>
      </c>
      <c r="D1183">
        <v>3.0</v>
      </c>
      <c r="E1183" t="str">
        <f t="shared" si="1"/>
        <v>5.75</v>
      </c>
      <c r="F1183">
        <v>6.0</v>
      </c>
      <c r="G1183">
        <v>1.0</v>
      </c>
      <c r="H1183" t="str">
        <f t="shared" si="2"/>
        <v>6</v>
      </c>
      <c r="I1183">
        <v>90.0</v>
      </c>
      <c r="J1183" t="str">
        <f t="shared" si="3"/>
        <v>285.75</v>
      </c>
      <c r="K1183" t="str">
        <f t="shared" si="4"/>
        <v>1128.7125</v>
      </c>
      <c r="L1183" t="str">
        <f t="shared" si="5"/>
        <v>18.811875</v>
      </c>
      <c r="M1183" t="str">
        <f t="shared" si="6"/>
        <v>395</v>
      </c>
      <c r="N1183" t="s">
        <v>182</v>
      </c>
      <c r="O1183" t="s">
        <v>2143</v>
      </c>
    </row>
    <row r="1184" ht="15.75" customHeight="1">
      <c r="A1184">
        <v>1188.0</v>
      </c>
      <c r="B1184">
        <v>54.0</v>
      </c>
      <c r="C1184">
        <v>132.0</v>
      </c>
      <c r="D1184">
        <v>3.0</v>
      </c>
      <c r="E1184" t="str">
        <f t="shared" si="1"/>
        <v>7.7</v>
      </c>
      <c r="F1184">
        <v>6.0</v>
      </c>
      <c r="G1184">
        <v>3.0</v>
      </c>
      <c r="H1184" t="str">
        <f t="shared" si="2"/>
        <v>18</v>
      </c>
      <c r="I1184">
        <v>132.0</v>
      </c>
      <c r="J1184" t="str">
        <f t="shared" si="3"/>
        <v>419.1</v>
      </c>
      <c r="K1184" t="str">
        <f t="shared" si="4"/>
        <v>1504.569</v>
      </c>
      <c r="L1184" t="str">
        <f t="shared" si="5"/>
        <v>8.358716667</v>
      </c>
      <c r="M1184" t="str">
        <f t="shared" si="6"/>
        <v>359</v>
      </c>
      <c r="N1184" t="s">
        <v>182</v>
      </c>
      <c r="O1184" t="s">
        <v>2144</v>
      </c>
    </row>
    <row r="1185" ht="15.75" customHeight="1">
      <c r="A1185">
        <v>1189.0</v>
      </c>
      <c r="B1185">
        <v>120.0</v>
      </c>
      <c r="C1185">
        <v>75.0</v>
      </c>
      <c r="D1185">
        <v>4.0</v>
      </c>
      <c r="E1185" t="str">
        <f t="shared" si="1"/>
        <v>2.7875</v>
      </c>
      <c r="F1185">
        <v>2.0</v>
      </c>
      <c r="G1185">
        <v>4.0</v>
      </c>
      <c r="H1185" t="str">
        <f t="shared" si="2"/>
        <v>8</v>
      </c>
      <c r="I1185">
        <v>98.0</v>
      </c>
      <c r="J1185" t="str">
        <f t="shared" si="3"/>
        <v>311.15</v>
      </c>
      <c r="K1185" t="str">
        <f t="shared" si="4"/>
        <v>824.5475</v>
      </c>
      <c r="L1185" t="str">
        <f t="shared" si="5"/>
        <v>10.30684375</v>
      </c>
      <c r="M1185" t="str">
        <f t="shared" si="6"/>
        <v>265</v>
      </c>
      <c r="N1185" t="s">
        <v>187</v>
      </c>
      <c r="O1185" t="s">
        <v>2145</v>
      </c>
      <c r="P1185" s="126" t="s">
        <v>2146</v>
      </c>
    </row>
    <row r="1186" ht="15.75" customHeight="1">
      <c r="A1186">
        <v>1190.0</v>
      </c>
      <c r="B1186">
        <v>86.0</v>
      </c>
      <c r="C1186">
        <v>58.0</v>
      </c>
      <c r="D1186">
        <v>3.0</v>
      </c>
      <c r="E1186" t="str">
        <f t="shared" si="1"/>
        <v>2.96</v>
      </c>
      <c r="F1186">
        <v>4.0</v>
      </c>
      <c r="G1186">
        <v>5.0</v>
      </c>
      <c r="H1186" t="str">
        <f t="shared" si="2"/>
        <v>20</v>
      </c>
      <c r="I1186">
        <v>96.0</v>
      </c>
      <c r="J1186" t="str">
        <f t="shared" si="3"/>
        <v>304.8</v>
      </c>
      <c r="K1186" t="str">
        <f t="shared" si="4"/>
        <v>1136.904</v>
      </c>
      <c r="L1186" t="str">
        <f t="shared" si="5"/>
        <v>5.68452</v>
      </c>
      <c r="M1186" t="str">
        <f t="shared" si="6"/>
        <v>373</v>
      </c>
      <c r="N1186" t="s">
        <v>187</v>
      </c>
      <c r="O1186" t="s">
        <v>2147</v>
      </c>
      <c r="P1186" s="126" t="s">
        <v>2148</v>
      </c>
    </row>
    <row r="1187" ht="15.75" customHeight="1">
      <c r="A1187">
        <v>1191.0</v>
      </c>
      <c r="B1187">
        <v>71.0</v>
      </c>
      <c r="C1187">
        <v>46.0</v>
      </c>
      <c r="D1187">
        <v>3.0</v>
      </c>
      <c r="E1187" t="str">
        <f t="shared" si="1"/>
        <v>2.985714286</v>
      </c>
      <c r="F1187">
        <v>4.0</v>
      </c>
      <c r="G1187">
        <v>7.0</v>
      </c>
      <c r="H1187" t="str">
        <f t="shared" si="2"/>
        <v>28</v>
      </c>
      <c r="I1187">
        <v>108.0</v>
      </c>
      <c r="J1187" t="str">
        <f t="shared" si="3"/>
        <v>342.9</v>
      </c>
      <c r="K1187" t="str">
        <f t="shared" si="4"/>
        <v>1073.277</v>
      </c>
      <c r="L1187" t="str">
        <f t="shared" si="5"/>
        <v>3.833132143</v>
      </c>
      <c r="M1187" t="str">
        <f t="shared" si="6"/>
        <v>313</v>
      </c>
      <c r="N1187" t="s">
        <v>187</v>
      </c>
      <c r="O1187" t="s">
        <v>2149</v>
      </c>
      <c r="P1187" s="126" t="s">
        <v>2150</v>
      </c>
    </row>
    <row r="1188" ht="15.75" customHeight="1">
      <c r="A1188">
        <v>1192.0</v>
      </c>
      <c r="B1188">
        <v>114.0</v>
      </c>
      <c r="C1188">
        <v>68.0</v>
      </c>
      <c r="D1188">
        <v>3.0</v>
      </c>
      <c r="E1188" t="str">
        <f t="shared" si="1"/>
        <v>3.4375</v>
      </c>
      <c r="F1188">
        <v>2.0</v>
      </c>
      <c r="G1188">
        <v>4.0</v>
      </c>
      <c r="H1188" t="str">
        <f t="shared" si="2"/>
        <v>8</v>
      </c>
      <c r="I1188">
        <v>90.0</v>
      </c>
      <c r="J1188" t="str">
        <f t="shared" si="3"/>
        <v>285.75</v>
      </c>
      <c r="K1188" t="str">
        <f t="shared" si="4"/>
        <v>717.2325</v>
      </c>
      <c r="L1188" t="str">
        <f t="shared" si="5"/>
        <v>8.96540625</v>
      </c>
      <c r="M1188" t="str">
        <f t="shared" si="6"/>
        <v>251</v>
      </c>
      <c r="N1188" t="s">
        <v>187</v>
      </c>
      <c r="O1188" t="s">
        <v>2151</v>
      </c>
      <c r="P1188" s="126" t="s">
        <v>2152</v>
      </c>
    </row>
    <row r="1189" ht="15.75" customHeight="1">
      <c r="A1189">
        <v>1193.0</v>
      </c>
      <c r="B1189">
        <v>330.0</v>
      </c>
      <c r="C1189">
        <v>160.0</v>
      </c>
      <c r="D1189">
        <v>3.0</v>
      </c>
      <c r="E1189" t="str">
        <f t="shared" si="1"/>
        <v>6.6875</v>
      </c>
      <c r="F1189">
        <v>1.0</v>
      </c>
      <c r="G1189">
        <v>2.0</v>
      </c>
      <c r="H1189" t="str">
        <f t="shared" si="2"/>
        <v>2</v>
      </c>
      <c r="I1189">
        <v>105.0</v>
      </c>
      <c r="J1189" t="str">
        <f t="shared" si="3"/>
        <v>333.375</v>
      </c>
      <c r="K1189" t="str">
        <f t="shared" si="4"/>
        <v>1166.8125</v>
      </c>
      <c r="L1189" t="str">
        <f t="shared" si="5"/>
        <v>58.340625</v>
      </c>
      <c r="M1189" t="str">
        <f t="shared" si="6"/>
        <v>350</v>
      </c>
      <c r="N1189" t="s">
        <v>187</v>
      </c>
      <c r="O1189" t="s">
        <v>2153</v>
      </c>
    </row>
    <row r="1190" ht="15.75" customHeight="1">
      <c r="A1190">
        <v>1194.0</v>
      </c>
      <c r="B1190">
        <v>100.0</v>
      </c>
      <c r="C1190">
        <v>54.0</v>
      </c>
      <c r="D1190">
        <v>3.0</v>
      </c>
      <c r="E1190" t="str">
        <f t="shared" si="1"/>
        <v>3.15</v>
      </c>
      <c r="F1190">
        <v>2.0</v>
      </c>
      <c r="G1190">
        <v>6.0</v>
      </c>
      <c r="H1190" t="str">
        <f t="shared" si="2"/>
        <v>12</v>
      </c>
      <c r="I1190">
        <v>108.0</v>
      </c>
      <c r="J1190" t="str">
        <f t="shared" si="3"/>
        <v>342.9</v>
      </c>
      <c r="K1190" t="str">
        <f t="shared" si="4"/>
        <v>764.667</v>
      </c>
      <c r="L1190" t="str">
        <f t="shared" si="5"/>
        <v>6.372225</v>
      </c>
      <c r="M1190" t="str">
        <f t="shared" si="6"/>
        <v>223</v>
      </c>
      <c r="N1190" t="s">
        <v>187</v>
      </c>
      <c r="O1190" t="s">
        <v>2154</v>
      </c>
      <c r="P1190" t="s">
        <v>2155</v>
      </c>
    </row>
    <row r="1191" ht="15.75" customHeight="1">
      <c r="A1191">
        <v>1195.0</v>
      </c>
      <c r="B1191">
        <v>165.0</v>
      </c>
      <c r="C1191">
        <v>55.0</v>
      </c>
      <c r="D1191">
        <v>3.0</v>
      </c>
      <c r="E1191" t="str">
        <f t="shared" si="1"/>
        <v>3.208333333</v>
      </c>
      <c r="F1191">
        <v>2.0</v>
      </c>
      <c r="G1191">
        <v>6.0</v>
      </c>
      <c r="H1191" t="str">
        <f t="shared" si="2"/>
        <v>12</v>
      </c>
      <c r="I1191">
        <v>110.0</v>
      </c>
      <c r="J1191" t="str">
        <f t="shared" si="3"/>
        <v>349.25</v>
      </c>
      <c r="K1191" t="str">
        <f t="shared" si="4"/>
        <v>1232.8525</v>
      </c>
      <c r="L1191" t="str">
        <f t="shared" si="5"/>
        <v>10.27377083</v>
      </c>
      <c r="M1191" t="str">
        <f t="shared" si="6"/>
        <v>353</v>
      </c>
      <c r="N1191" t="s">
        <v>187</v>
      </c>
      <c r="O1191" t="s">
        <v>2156</v>
      </c>
      <c r="P1191" s="126" t="s">
        <v>2157</v>
      </c>
    </row>
    <row r="1192" ht="15.75" customHeight="1">
      <c r="A1192">
        <v>1196.0</v>
      </c>
      <c r="B1192">
        <v>204.0</v>
      </c>
      <c r="C1192">
        <v>182.2</v>
      </c>
      <c r="D1192">
        <v>3.0</v>
      </c>
      <c r="E1192" t="str">
        <f t="shared" si="1"/>
        <v>4.066666667</v>
      </c>
      <c r="F1192">
        <v>2.0</v>
      </c>
      <c r="G1192">
        <v>3.0</v>
      </c>
      <c r="H1192" t="str">
        <f t="shared" si="2"/>
        <v>6</v>
      </c>
      <c r="I1192">
        <v>176.0</v>
      </c>
      <c r="J1192" t="str">
        <f t="shared" si="3"/>
        <v>558.8</v>
      </c>
      <c r="K1192" t="str">
        <f t="shared" si="4"/>
        <v>2408.428</v>
      </c>
      <c r="L1192" t="str">
        <f t="shared" si="5"/>
        <v>40.14046667</v>
      </c>
      <c r="M1192" t="str">
        <f t="shared" si="6"/>
        <v>431</v>
      </c>
      <c r="N1192" t="s">
        <v>187</v>
      </c>
      <c r="O1192" t="s">
        <v>2158</v>
      </c>
      <c r="P1192" t="s">
        <v>2159</v>
      </c>
    </row>
    <row r="1193" ht="15.75" customHeight="1">
      <c r="A1193">
        <v>1197.0</v>
      </c>
      <c r="B1193">
        <v>50.0</v>
      </c>
      <c r="C1193">
        <v>33.0</v>
      </c>
      <c r="D1193">
        <v>3.0</v>
      </c>
      <c r="E1193" t="str">
        <f t="shared" si="1"/>
        <v>4.041666667</v>
      </c>
      <c r="F1193">
        <v>6.0</v>
      </c>
      <c r="G1193">
        <v>9.0</v>
      </c>
      <c r="H1193" t="str">
        <f t="shared" si="2"/>
        <v>54</v>
      </c>
      <c r="I1193">
        <v>105.0</v>
      </c>
      <c r="J1193" t="str">
        <f t="shared" si="3"/>
        <v>333.375</v>
      </c>
      <c r="K1193" t="str">
        <f t="shared" si="4"/>
        <v>1116.80625</v>
      </c>
      <c r="L1193" t="str">
        <f t="shared" si="5"/>
        <v>2.068159722</v>
      </c>
      <c r="M1193" t="str">
        <f t="shared" si="6"/>
        <v>335</v>
      </c>
      <c r="N1193" t="s">
        <v>182</v>
      </c>
      <c r="O1193" t="s">
        <v>2160</v>
      </c>
    </row>
    <row r="1194" ht="15.75" customHeight="1">
      <c r="A1194">
        <v>1198.0</v>
      </c>
      <c r="B1194">
        <v>25.0</v>
      </c>
      <c r="C1194">
        <v>27.0</v>
      </c>
      <c r="D1194">
        <v>3.0</v>
      </c>
      <c r="E1194" t="str">
        <f t="shared" si="1"/>
        <v>2.410526316</v>
      </c>
      <c r="F1194">
        <v>8.0</v>
      </c>
      <c r="G1194">
        <v>19.0</v>
      </c>
      <c r="H1194" t="str">
        <f t="shared" si="2"/>
        <v>152</v>
      </c>
      <c r="I1194">
        <v>176.0</v>
      </c>
      <c r="J1194" t="str">
        <f t="shared" si="3"/>
        <v>558.8</v>
      </c>
      <c r="K1194" t="str">
        <f t="shared" si="4"/>
        <v>1346.708</v>
      </c>
      <c r="L1194" t="str">
        <f t="shared" si="5"/>
        <v>0.8859921053</v>
      </c>
      <c r="M1194" t="str">
        <f t="shared" si="6"/>
        <v>241</v>
      </c>
      <c r="N1194" t="s">
        <v>182</v>
      </c>
      <c r="O1194" t="s">
        <v>2161</v>
      </c>
    </row>
    <row r="1195" ht="15.75" customHeight="1">
      <c r="A1195">
        <v>1199.0</v>
      </c>
      <c r="B1195">
        <v>60.0</v>
      </c>
      <c r="C1195">
        <v>110.0</v>
      </c>
      <c r="D1195">
        <v>3.0</v>
      </c>
      <c r="E1195" t="str">
        <f t="shared" si="1"/>
        <v>4.3</v>
      </c>
      <c r="F1195">
        <v>4.0</v>
      </c>
      <c r="G1195">
        <v>3.0</v>
      </c>
      <c r="H1195" t="str">
        <f t="shared" si="2"/>
        <v>12</v>
      </c>
      <c r="I1195">
        <v>108.0</v>
      </c>
      <c r="J1195" t="str">
        <f t="shared" si="3"/>
        <v>342.9</v>
      </c>
      <c r="K1195" t="str">
        <f t="shared" si="4"/>
        <v>922.401</v>
      </c>
      <c r="L1195" t="str">
        <f t="shared" si="5"/>
        <v>7.686675</v>
      </c>
      <c r="M1195" t="str">
        <f t="shared" si="6"/>
        <v>269</v>
      </c>
      <c r="N1195" t="s">
        <v>182</v>
      </c>
      <c r="O1195" t="s">
        <v>2162</v>
      </c>
      <c r="P1195" t="s">
        <v>2163</v>
      </c>
    </row>
    <row r="1196" ht="15.75" customHeight="1">
      <c r="A1196">
        <v>1200.0</v>
      </c>
      <c r="B1196">
        <v>64.1</v>
      </c>
      <c r="C1196">
        <v>266.1</v>
      </c>
      <c r="D1196">
        <v>4.0</v>
      </c>
      <c r="E1196" t="str">
        <f t="shared" si="1"/>
        <v>6.95</v>
      </c>
      <c r="F1196">
        <v>5.0</v>
      </c>
      <c r="G1196">
        <v>1.0</v>
      </c>
      <c r="H1196" t="str">
        <f t="shared" si="2"/>
        <v>5</v>
      </c>
      <c r="I1196">
        <v>86.0</v>
      </c>
      <c r="J1196" t="str">
        <f t="shared" si="3"/>
        <v>273.05</v>
      </c>
      <c r="K1196" t="str">
        <f t="shared" si="4"/>
        <v>976.15375</v>
      </c>
      <c r="L1196" t="str">
        <f t="shared" si="5"/>
        <v>19.523075</v>
      </c>
      <c r="M1196" t="str">
        <f t="shared" si="6"/>
        <v>357.5</v>
      </c>
      <c r="N1196" t="s">
        <v>182</v>
      </c>
      <c r="O1196" t="s">
        <v>2164</v>
      </c>
      <c r="P1196" t="s">
        <v>789</v>
      </c>
    </row>
    <row r="1197" ht="15.75" customHeight="1">
      <c r="A1197">
        <v>1201.0</v>
      </c>
      <c r="B1197">
        <v>60.0</v>
      </c>
      <c r="C1197">
        <v>110.0</v>
      </c>
      <c r="D1197">
        <v>3.0</v>
      </c>
      <c r="E1197" t="str">
        <f t="shared" si="1"/>
        <v>4.3</v>
      </c>
      <c r="F1197">
        <v>4.0</v>
      </c>
      <c r="G1197">
        <v>3.0</v>
      </c>
      <c r="H1197" t="str">
        <f t="shared" si="2"/>
        <v>12</v>
      </c>
      <c r="I1197">
        <v>108.0</v>
      </c>
      <c r="J1197" t="str">
        <f t="shared" si="3"/>
        <v>342.9</v>
      </c>
      <c r="K1197" t="str">
        <f t="shared" si="4"/>
        <v>922.401</v>
      </c>
      <c r="L1197" t="str">
        <f t="shared" si="5"/>
        <v>7.686675</v>
      </c>
      <c r="M1197" t="str">
        <f t="shared" si="6"/>
        <v>269</v>
      </c>
      <c r="N1197" t="s">
        <v>182</v>
      </c>
      <c r="O1197" t="s">
        <v>2165</v>
      </c>
      <c r="P1197" t="s">
        <v>2166</v>
      </c>
    </row>
    <row r="1198" ht="15.75" customHeight="1">
      <c r="A1198">
        <v>1202.0</v>
      </c>
      <c r="B1198">
        <v>170.0</v>
      </c>
      <c r="C1198">
        <v>86.0</v>
      </c>
      <c r="D1198">
        <v>3.0</v>
      </c>
      <c r="E1198" t="str">
        <f t="shared" si="1"/>
        <v>4.805</v>
      </c>
      <c r="F1198">
        <v>2.0</v>
      </c>
      <c r="G1198">
        <v>5.0</v>
      </c>
      <c r="H1198" t="str">
        <f t="shared" si="2"/>
        <v>10</v>
      </c>
      <c r="I1198">
        <v>143.0</v>
      </c>
      <c r="J1198" t="str">
        <f t="shared" si="3"/>
        <v>454.025</v>
      </c>
      <c r="K1198" t="str">
        <f t="shared" si="4"/>
        <v>1648.11075</v>
      </c>
      <c r="L1198" t="str">
        <f t="shared" si="5"/>
        <v>16.4811075</v>
      </c>
      <c r="M1198" t="str">
        <f t="shared" si="6"/>
        <v>363</v>
      </c>
      <c r="N1198" t="s">
        <v>187</v>
      </c>
      <c r="O1198" t="s">
        <v>2167</v>
      </c>
      <c r="P1198" t="s">
        <v>2168</v>
      </c>
    </row>
    <row r="1199" ht="15.75" customHeight="1">
      <c r="A1199">
        <v>1203.0</v>
      </c>
      <c r="B1199">
        <v>170.0</v>
      </c>
      <c r="C1199">
        <v>239.0</v>
      </c>
      <c r="D1199">
        <v>3.0</v>
      </c>
      <c r="E1199" t="str">
        <f t="shared" si="1"/>
        <v>3.8875</v>
      </c>
      <c r="F1199">
        <v>2.0</v>
      </c>
      <c r="G1199">
        <v>2.0</v>
      </c>
      <c r="H1199" t="str">
        <f t="shared" si="2"/>
        <v>4</v>
      </c>
      <c r="I1199">
        <v>153.0</v>
      </c>
      <c r="J1199" t="str">
        <f t="shared" si="3"/>
        <v>485.775</v>
      </c>
      <c r="K1199" t="str">
        <f t="shared" si="4"/>
        <v>1763.36325</v>
      </c>
      <c r="L1199" t="str">
        <f t="shared" si="5"/>
        <v>44.08408125</v>
      </c>
      <c r="M1199" t="str">
        <f t="shared" si="6"/>
        <v>363</v>
      </c>
      <c r="N1199" t="s">
        <v>187</v>
      </c>
      <c r="O1199" t="s">
        <v>2169</v>
      </c>
    </row>
    <row r="1200" ht="15.75" customHeight="1">
      <c r="A1200">
        <v>1204.0</v>
      </c>
      <c r="B1200">
        <v>105.0</v>
      </c>
      <c r="C1200">
        <v>30.0</v>
      </c>
      <c r="D1200">
        <v>3.0</v>
      </c>
      <c r="E1200" t="str">
        <f t="shared" si="1"/>
        <v>3.3375</v>
      </c>
      <c r="F1200">
        <v>3.0</v>
      </c>
      <c r="G1200">
        <v>8.0</v>
      </c>
      <c r="H1200" t="str">
        <f t="shared" si="2"/>
        <v>24</v>
      </c>
      <c r="I1200">
        <v>84.0</v>
      </c>
      <c r="J1200" t="str">
        <f t="shared" si="3"/>
        <v>266.7</v>
      </c>
      <c r="K1200" t="str">
        <f t="shared" si="4"/>
        <v>909.447</v>
      </c>
      <c r="L1200" t="str">
        <f t="shared" si="5"/>
        <v>3.7893625</v>
      </c>
      <c r="M1200" t="str">
        <f t="shared" si="6"/>
        <v>341</v>
      </c>
      <c r="N1200" t="s">
        <v>182</v>
      </c>
      <c r="O1200" t="s">
        <v>2170</v>
      </c>
    </row>
    <row r="1201" ht="15.75" customHeight="1">
      <c r="A1201">
        <v>1205.0</v>
      </c>
      <c r="B1201">
        <v>70.0</v>
      </c>
      <c r="C1201">
        <v>100.0</v>
      </c>
      <c r="D1201">
        <v>3.0</v>
      </c>
      <c r="E1201" t="str">
        <f t="shared" si="1"/>
        <v>3.716666667</v>
      </c>
      <c r="F1201">
        <v>5.0</v>
      </c>
      <c r="G1201">
        <v>3.0</v>
      </c>
      <c r="H1201" t="str">
        <f t="shared" si="2"/>
        <v>15</v>
      </c>
      <c r="I1201">
        <v>98.0</v>
      </c>
      <c r="J1201" t="str">
        <f t="shared" si="3"/>
        <v>311.15</v>
      </c>
      <c r="K1201" t="str">
        <f t="shared" si="4"/>
        <v>1188.593</v>
      </c>
      <c r="L1201" t="str">
        <f t="shared" si="5"/>
        <v>7.923953333</v>
      </c>
      <c r="M1201" t="str">
        <f t="shared" si="6"/>
        <v>382</v>
      </c>
      <c r="N1201" t="s">
        <v>182</v>
      </c>
      <c r="O1201" t="s">
        <v>2171</v>
      </c>
    </row>
    <row r="1202" ht="15.75" customHeight="1">
      <c r="A1202">
        <v>1206.0</v>
      </c>
      <c r="B1202">
        <v>140.0</v>
      </c>
      <c r="C1202">
        <v>33.0</v>
      </c>
      <c r="D1202">
        <v>3.0</v>
      </c>
      <c r="E1202" t="str">
        <f t="shared" si="1"/>
        <v>2.983333333</v>
      </c>
      <c r="F1202">
        <v>2.0</v>
      </c>
      <c r="G1202">
        <v>9.0</v>
      </c>
      <c r="H1202" t="str">
        <f t="shared" si="2"/>
        <v>18</v>
      </c>
      <c r="I1202">
        <v>102.0</v>
      </c>
      <c r="J1202" t="str">
        <f t="shared" si="3"/>
        <v>323.85</v>
      </c>
      <c r="K1202" t="str">
        <f t="shared" si="4"/>
        <v>981.2655</v>
      </c>
      <c r="L1202" t="str">
        <f t="shared" si="5"/>
        <v>5.451475</v>
      </c>
      <c r="M1202" t="str">
        <f t="shared" si="6"/>
        <v>303</v>
      </c>
      <c r="N1202" t="s">
        <v>182</v>
      </c>
      <c r="O1202" t="s">
        <v>2172</v>
      </c>
    </row>
    <row r="1203" ht="15.75" customHeight="1">
      <c r="A1203">
        <v>1207.0</v>
      </c>
      <c r="B1203">
        <v>265.0</v>
      </c>
      <c r="C1203">
        <v>55.0</v>
      </c>
      <c r="D1203">
        <v>5.0</v>
      </c>
      <c r="E1203" t="str">
        <f t="shared" si="1"/>
        <v>3.208333333</v>
      </c>
      <c r="F1203">
        <v>1.0</v>
      </c>
      <c r="G1203">
        <v>6.0</v>
      </c>
      <c r="H1203" t="str">
        <f t="shared" si="2"/>
        <v>6</v>
      </c>
      <c r="I1203">
        <v>110.0</v>
      </c>
      <c r="J1203" t="str">
        <f t="shared" si="3"/>
        <v>349.25</v>
      </c>
      <c r="K1203" t="str">
        <f t="shared" si="4"/>
        <v>1002.3475</v>
      </c>
      <c r="L1203" t="str">
        <f t="shared" si="5"/>
        <v>16.70579167</v>
      </c>
      <c r="M1203" t="str">
        <f t="shared" si="6"/>
        <v>287</v>
      </c>
      <c r="N1203" t="s">
        <v>187</v>
      </c>
      <c r="O1203" t="s">
        <v>2173</v>
      </c>
    </row>
    <row r="1204" ht="15.75" customHeight="1">
      <c r="A1204">
        <v>1208.0</v>
      </c>
      <c r="B1204">
        <v>135.0</v>
      </c>
      <c r="C1204">
        <v>180.0</v>
      </c>
      <c r="D1204">
        <v>3.0</v>
      </c>
      <c r="E1204" t="str">
        <f t="shared" si="1"/>
        <v>6.266666667</v>
      </c>
      <c r="F1204">
        <v>2.0</v>
      </c>
      <c r="G1204">
        <v>3.0</v>
      </c>
      <c r="H1204" t="str">
        <f t="shared" si="2"/>
        <v>6</v>
      </c>
      <c r="I1204">
        <v>176.0</v>
      </c>
      <c r="J1204" t="str">
        <f t="shared" si="3"/>
        <v>558.8</v>
      </c>
      <c r="K1204" t="str">
        <f t="shared" si="4"/>
        <v>1637.284</v>
      </c>
      <c r="L1204" t="str">
        <f t="shared" si="5"/>
        <v>27.28806667</v>
      </c>
      <c r="M1204" t="str">
        <f t="shared" si="6"/>
        <v>293</v>
      </c>
      <c r="N1204" t="s">
        <v>187</v>
      </c>
      <c r="O1204" t="s">
        <v>2174</v>
      </c>
    </row>
    <row r="1205" ht="15.75" customHeight="1">
      <c r="A1205">
        <v>1209.0</v>
      </c>
      <c r="B1205">
        <v>44.0</v>
      </c>
      <c r="C1205">
        <v>102.0</v>
      </c>
      <c r="D1205">
        <v>3.0</v>
      </c>
      <c r="E1205" t="str">
        <f t="shared" si="1"/>
        <v>2.775</v>
      </c>
      <c r="F1205">
        <v>8.0</v>
      </c>
      <c r="G1205">
        <v>4.0</v>
      </c>
      <c r="H1205" t="str">
        <f t="shared" si="2"/>
        <v>32</v>
      </c>
      <c r="I1205">
        <v>132.0</v>
      </c>
      <c r="J1205" t="str">
        <f t="shared" si="3"/>
        <v>419.1</v>
      </c>
      <c r="K1205" t="str">
        <f t="shared" si="4"/>
        <v>1647.063</v>
      </c>
      <c r="L1205" t="str">
        <f t="shared" si="5"/>
        <v>5.147071875</v>
      </c>
      <c r="M1205" t="str">
        <f t="shared" si="6"/>
        <v>393</v>
      </c>
      <c r="N1205" t="s">
        <v>187</v>
      </c>
      <c r="O1205" t="s">
        <v>2175</v>
      </c>
    </row>
    <row r="1206" ht="15.75" customHeight="1">
      <c r="A1206">
        <v>1210.0</v>
      </c>
      <c r="B1206">
        <v>35.0</v>
      </c>
      <c r="C1206">
        <v>35.0</v>
      </c>
      <c r="D1206">
        <v>3.0</v>
      </c>
      <c r="E1206" t="str">
        <f t="shared" si="1"/>
        <v>4.158333333</v>
      </c>
      <c r="F1206">
        <v>4.0</v>
      </c>
      <c r="G1206">
        <v>12.0</v>
      </c>
      <c r="H1206" t="str">
        <f t="shared" si="2"/>
        <v>48</v>
      </c>
      <c r="I1206">
        <v>148.0</v>
      </c>
      <c r="J1206" t="str">
        <f t="shared" si="3"/>
        <v>469.9</v>
      </c>
      <c r="K1206" t="str">
        <f t="shared" si="4"/>
        <v>794.131</v>
      </c>
      <c r="L1206" t="str">
        <f t="shared" si="5"/>
        <v>1.654439583</v>
      </c>
      <c r="M1206" t="str">
        <f t="shared" si="6"/>
        <v>169</v>
      </c>
      <c r="N1206" t="s">
        <v>187</v>
      </c>
      <c r="O1206" t="s">
        <v>2176</v>
      </c>
      <c r="P1206" t="s">
        <v>2177</v>
      </c>
    </row>
    <row r="1207" ht="15.75" customHeight="1">
      <c r="A1207">
        <v>1211.0</v>
      </c>
      <c r="B1207">
        <v>108.0</v>
      </c>
      <c r="C1207">
        <v>75.0</v>
      </c>
      <c r="D1207">
        <v>3.0</v>
      </c>
      <c r="E1207" t="str">
        <f t="shared" si="1"/>
        <v>2.7875</v>
      </c>
      <c r="F1207">
        <v>2.0</v>
      </c>
      <c r="G1207">
        <v>4.0</v>
      </c>
      <c r="H1207" t="str">
        <f t="shared" si="2"/>
        <v>8</v>
      </c>
      <c r="I1207">
        <v>98.0</v>
      </c>
      <c r="J1207" t="str">
        <f t="shared" si="3"/>
        <v>311.15</v>
      </c>
      <c r="K1207" t="str">
        <f t="shared" si="4"/>
        <v>743.6485</v>
      </c>
      <c r="L1207" t="str">
        <f t="shared" si="5"/>
        <v>9.29560625</v>
      </c>
      <c r="M1207" t="str">
        <f t="shared" si="6"/>
        <v>239</v>
      </c>
      <c r="N1207" t="s">
        <v>187</v>
      </c>
      <c r="O1207" t="s">
        <v>2178</v>
      </c>
      <c r="P1207" s="126" t="s">
        <v>2179</v>
      </c>
    </row>
    <row r="1208" ht="15.75" customHeight="1">
      <c r="A1208">
        <v>1212.0</v>
      </c>
      <c r="B1208">
        <v>232.0</v>
      </c>
      <c r="C1208">
        <v>144.0</v>
      </c>
      <c r="D1208">
        <v>3.0</v>
      </c>
      <c r="E1208" t="str">
        <f t="shared" si="1"/>
        <v>7.341666667</v>
      </c>
      <c r="F1208">
        <v>1.0</v>
      </c>
      <c r="G1208">
        <v>3.0</v>
      </c>
      <c r="H1208" t="str">
        <f t="shared" si="2"/>
        <v>3</v>
      </c>
      <c r="I1208">
        <v>143.0</v>
      </c>
      <c r="J1208" t="str">
        <f t="shared" si="3"/>
        <v>454.025</v>
      </c>
      <c r="K1208" t="str">
        <f t="shared" si="4"/>
        <v>1144.143</v>
      </c>
      <c r="L1208" t="str">
        <f t="shared" si="5"/>
        <v>38.1381</v>
      </c>
      <c r="M1208" t="str">
        <f t="shared" si="6"/>
        <v>252</v>
      </c>
      <c r="N1208" t="s">
        <v>182</v>
      </c>
      <c r="O1208" t="s">
        <v>2180</v>
      </c>
      <c r="P1208" s="126" t="s">
        <v>2181</v>
      </c>
    </row>
    <row r="1209" ht="15.75" customHeight="1">
      <c r="A1209">
        <v>1213.0</v>
      </c>
      <c r="B1209">
        <v>145.0</v>
      </c>
      <c r="C1209">
        <v>62.0</v>
      </c>
      <c r="D1209">
        <v>3.0</v>
      </c>
      <c r="E1209" t="str">
        <f t="shared" si="1"/>
        <v>4.675</v>
      </c>
      <c r="F1209">
        <v>2.0</v>
      </c>
      <c r="G1209">
        <v>5.0</v>
      </c>
      <c r="H1209" t="str">
        <f t="shared" si="2"/>
        <v>10</v>
      </c>
      <c r="I1209">
        <v>105.0</v>
      </c>
      <c r="J1209" t="str">
        <f t="shared" si="3"/>
        <v>333.375</v>
      </c>
      <c r="K1209" t="str">
        <f t="shared" si="4"/>
        <v>1043.46375</v>
      </c>
      <c r="L1209" t="str">
        <f t="shared" si="5"/>
        <v>10.4346375</v>
      </c>
      <c r="M1209" t="str">
        <f t="shared" si="6"/>
        <v>313</v>
      </c>
      <c r="N1209" t="s">
        <v>182</v>
      </c>
      <c r="O1209" t="s">
        <v>2182</v>
      </c>
      <c r="P1209" s="126" t="s">
        <v>2183</v>
      </c>
    </row>
    <row r="1210" ht="15.75" customHeight="1">
      <c r="A1210">
        <v>1214.0</v>
      </c>
      <c r="B1210">
        <v>140.0</v>
      </c>
      <c r="C1210">
        <v>58.0</v>
      </c>
      <c r="D1210">
        <v>4.0</v>
      </c>
      <c r="E1210" t="str">
        <f t="shared" si="1"/>
        <v>4.23</v>
      </c>
      <c r="F1210">
        <v>2.0</v>
      </c>
      <c r="G1210">
        <v>5.0</v>
      </c>
      <c r="H1210" t="str">
        <f t="shared" si="2"/>
        <v>10</v>
      </c>
      <c r="I1210">
        <v>98.0</v>
      </c>
      <c r="J1210" t="str">
        <f t="shared" si="3"/>
        <v>311.15</v>
      </c>
      <c r="K1210" t="str">
        <f t="shared" si="4"/>
        <v>949.0075</v>
      </c>
      <c r="L1210" t="str">
        <f t="shared" si="5"/>
        <v>9.490075</v>
      </c>
      <c r="M1210" t="str">
        <f t="shared" si="6"/>
        <v>305</v>
      </c>
      <c r="N1210" t="s">
        <v>182</v>
      </c>
      <c r="O1210" t="s">
        <v>2184</v>
      </c>
      <c r="P1210" t="s">
        <v>2185</v>
      </c>
    </row>
    <row r="1211" ht="15.75" customHeight="1">
      <c r="A1211">
        <v>1215.0</v>
      </c>
      <c r="B1211">
        <v>23.0</v>
      </c>
      <c r="C1211">
        <v>225.0</v>
      </c>
      <c r="D1211">
        <v>3.0</v>
      </c>
      <c r="E1211" t="str">
        <f t="shared" si="1"/>
        <v>9.95</v>
      </c>
      <c r="F1211">
        <v>12.0</v>
      </c>
      <c r="G1211">
        <v>2.0</v>
      </c>
      <c r="H1211" t="str">
        <f t="shared" si="2"/>
        <v>24</v>
      </c>
      <c r="I1211">
        <v>148.0</v>
      </c>
      <c r="J1211" t="str">
        <f t="shared" si="3"/>
        <v>469.9</v>
      </c>
      <c r="K1211" t="str">
        <f t="shared" si="4"/>
        <v>1545.971</v>
      </c>
      <c r="L1211" t="str">
        <f t="shared" si="5"/>
        <v>6.441545833</v>
      </c>
      <c r="M1211" t="str">
        <f t="shared" si="6"/>
        <v>329</v>
      </c>
      <c r="N1211" t="s">
        <v>182</v>
      </c>
      <c r="O1211" t="s">
        <v>2186</v>
      </c>
    </row>
    <row r="1212" ht="15.75" customHeight="1">
      <c r="A1212">
        <v>1216.0</v>
      </c>
      <c r="B1212">
        <v>75.0</v>
      </c>
      <c r="C1212">
        <v>150.0</v>
      </c>
      <c r="D1212">
        <v>3.0</v>
      </c>
      <c r="E1212" t="str">
        <f t="shared" si="1"/>
        <v>5.575</v>
      </c>
      <c r="F1212">
        <v>4.0</v>
      </c>
      <c r="G1212">
        <v>2.0</v>
      </c>
      <c r="H1212" t="str">
        <f t="shared" si="2"/>
        <v>8</v>
      </c>
      <c r="I1212">
        <v>98.0</v>
      </c>
      <c r="J1212" t="str">
        <f t="shared" si="3"/>
        <v>311.15</v>
      </c>
      <c r="K1212" t="str">
        <f t="shared" si="4"/>
        <v>1023.6835</v>
      </c>
      <c r="L1212" t="str">
        <f t="shared" si="5"/>
        <v>12.79604375</v>
      </c>
      <c r="M1212" t="str">
        <f t="shared" si="6"/>
        <v>329</v>
      </c>
      <c r="N1212" t="s">
        <v>182</v>
      </c>
      <c r="O1212" t="s">
        <v>2187</v>
      </c>
      <c r="P1212" t="s">
        <v>2188</v>
      </c>
    </row>
    <row r="1213" ht="15.75" customHeight="1">
      <c r="A1213">
        <v>1217.0</v>
      </c>
      <c r="B1213">
        <v>170.0</v>
      </c>
      <c r="C1213">
        <v>150.0</v>
      </c>
      <c r="D1213">
        <v>3.0</v>
      </c>
      <c r="E1213" t="str">
        <f t="shared" si="1"/>
        <v>2.4</v>
      </c>
      <c r="F1213">
        <v>2.0</v>
      </c>
      <c r="G1213">
        <v>2.0</v>
      </c>
      <c r="H1213" t="str">
        <f t="shared" si="2"/>
        <v>4</v>
      </c>
      <c r="I1213">
        <v>96.0</v>
      </c>
      <c r="J1213" t="str">
        <f t="shared" si="3"/>
        <v>304.8</v>
      </c>
      <c r="K1213" t="str">
        <f t="shared" si="4"/>
        <v>1106.424</v>
      </c>
      <c r="L1213" t="str">
        <f t="shared" si="5"/>
        <v>27.6606</v>
      </c>
      <c r="M1213" t="str">
        <f t="shared" si="6"/>
        <v>363</v>
      </c>
      <c r="N1213" t="s">
        <v>187</v>
      </c>
      <c r="O1213" t="s">
        <v>2189</v>
      </c>
    </row>
    <row r="1214" ht="15.75" customHeight="1">
      <c r="A1214">
        <v>1218.0</v>
      </c>
      <c r="B1214">
        <v>80.0</v>
      </c>
      <c r="C1214">
        <v>60.0</v>
      </c>
      <c r="D1214">
        <v>3.0</v>
      </c>
      <c r="E1214" t="str">
        <f t="shared" si="1"/>
        <v>3.5</v>
      </c>
      <c r="F1214">
        <v>4.0</v>
      </c>
      <c r="G1214">
        <v>6.0</v>
      </c>
      <c r="H1214" t="str">
        <f t="shared" si="2"/>
        <v>24</v>
      </c>
      <c r="I1214">
        <v>120.0</v>
      </c>
      <c r="J1214" t="str">
        <f t="shared" si="3"/>
        <v>381</v>
      </c>
      <c r="K1214" t="str">
        <f t="shared" si="4"/>
        <v>1329.69</v>
      </c>
      <c r="L1214" t="str">
        <f t="shared" si="5"/>
        <v>5.540375</v>
      </c>
      <c r="M1214" t="str">
        <f t="shared" si="6"/>
        <v>349</v>
      </c>
      <c r="N1214" t="s">
        <v>187</v>
      </c>
      <c r="O1214" t="s">
        <v>2190</v>
      </c>
    </row>
    <row r="1215" ht="15.75" customHeight="1">
      <c r="A1215">
        <v>1219.0</v>
      </c>
      <c r="B1215">
        <v>100.0</v>
      </c>
      <c r="C1215">
        <v>130.0</v>
      </c>
      <c r="D1215">
        <v>3.0</v>
      </c>
      <c r="E1215" t="str">
        <f t="shared" si="1"/>
        <v>3.35</v>
      </c>
      <c r="F1215">
        <v>2.0</v>
      </c>
      <c r="G1215">
        <v>2.0</v>
      </c>
      <c r="H1215" t="str">
        <f t="shared" si="2"/>
        <v>4</v>
      </c>
      <c r="I1215">
        <v>84.0</v>
      </c>
      <c r="J1215" t="str">
        <f t="shared" si="3"/>
        <v>266.7</v>
      </c>
      <c r="K1215" t="str">
        <f t="shared" si="4"/>
        <v>594.741</v>
      </c>
      <c r="L1215" t="str">
        <f t="shared" si="5"/>
        <v>14.868525</v>
      </c>
      <c r="M1215" t="str">
        <f t="shared" si="6"/>
        <v>223</v>
      </c>
      <c r="N1215" t="s">
        <v>182</v>
      </c>
      <c r="O1215" t="s">
        <v>2191</v>
      </c>
    </row>
    <row r="1216" ht="15.75" customHeight="1">
      <c r="A1216">
        <v>1220.0</v>
      </c>
      <c r="B1216">
        <v>25.0</v>
      </c>
      <c r="C1216">
        <v>95.0</v>
      </c>
      <c r="D1216">
        <v>3.0</v>
      </c>
      <c r="E1216" t="str">
        <f t="shared" si="1"/>
        <v>6.6</v>
      </c>
      <c r="F1216">
        <v>8.0</v>
      </c>
      <c r="G1216">
        <v>3.0</v>
      </c>
      <c r="H1216" t="str">
        <f t="shared" si="2"/>
        <v>24</v>
      </c>
      <c r="I1216">
        <v>96.0</v>
      </c>
      <c r="J1216" t="str">
        <f t="shared" si="3"/>
        <v>304.8</v>
      </c>
      <c r="K1216" t="str">
        <f t="shared" si="4"/>
        <v>734.568</v>
      </c>
      <c r="L1216" t="str">
        <f t="shared" si="5"/>
        <v>3.0607</v>
      </c>
      <c r="M1216" t="str">
        <f t="shared" si="6"/>
        <v>241</v>
      </c>
      <c r="N1216" t="s">
        <v>187</v>
      </c>
      <c r="O1216" t="s">
        <v>2192</v>
      </c>
      <c r="P1216" t="s">
        <v>2193</v>
      </c>
    </row>
    <row r="1217" ht="15.75" customHeight="1">
      <c r="A1217">
        <v>1221.0</v>
      </c>
      <c r="B1217">
        <v>138.0</v>
      </c>
      <c r="C1217">
        <v>115.0</v>
      </c>
      <c r="D1217">
        <v>4.0</v>
      </c>
      <c r="E1217" t="str">
        <f t="shared" si="1"/>
        <v>2.475</v>
      </c>
      <c r="F1217">
        <v>2.0</v>
      </c>
      <c r="G1217">
        <v>4.0</v>
      </c>
      <c r="H1217" t="str">
        <f t="shared" si="2"/>
        <v>8</v>
      </c>
      <c r="I1217">
        <v>148.0</v>
      </c>
      <c r="J1217" t="str">
        <f t="shared" si="3"/>
        <v>469.9</v>
      </c>
      <c r="K1217" t="str">
        <f t="shared" si="4"/>
        <v>1414.399</v>
      </c>
      <c r="L1217" t="str">
        <f t="shared" si="5"/>
        <v>17.6799875</v>
      </c>
      <c r="M1217" t="str">
        <f t="shared" si="6"/>
        <v>301</v>
      </c>
      <c r="N1217" t="s">
        <v>182</v>
      </c>
      <c r="O1217" t="s">
        <v>2194</v>
      </c>
      <c r="P1217" t="s">
        <v>2195</v>
      </c>
    </row>
    <row r="1218" ht="15.75" customHeight="1">
      <c r="A1218">
        <v>1222.0</v>
      </c>
      <c r="B1218">
        <v>124.0</v>
      </c>
      <c r="C1218">
        <v>94.0</v>
      </c>
      <c r="D1218">
        <v>4.0</v>
      </c>
      <c r="E1218" t="str">
        <f t="shared" si="1"/>
        <v>6.0125</v>
      </c>
      <c r="F1218">
        <v>2.0</v>
      </c>
      <c r="G1218">
        <v>4.0</v>
      </c>
      <c r="H1218" t="str">
        <f t="shared" si="2"/>
        <v>8</v>
      </c>
      <c r="I1218">
        <v>126.0</v>
      </c>
      <c r="J1218" t="str">
        <f t="shared" si="3"/>
        <v>400.05</v>
      </c>
      <c r="K1218" t="str">
        <f t="shared" si="4"/>
        <v>1092.1365</v>
      </c>
      <c r="L1218" t="str">
        <f t="shared" si="5"/>
        <v>13.65170625</v>
      </c>
      <c r="M1218" t="str">
        <f t="shared" si="6"/>
        <v>273</v>
      </c>
      <c r="N1218" t="s">
        <v>187</v>
      </c>
      <c r="O1218" t="s">
        <v>2196</v>
      </c>
      <c r="P1218" t="s">
        <v>2197</v>
      </c>
    </row>
    <row r="1219" ht="15.75" customHeight="1">
      <c r="A1219">
        <v>1223.0</v>
      </c>
      <c r="B1219">
        <v>218.0</v>
      </c>
      <c r="C1219">
        <v>156.0</v>
      </c>
      <c r="D1219">
        <v>3.0</v>
      </c>
      <c r="E1219" t="str">
        <f t="shared" si="1"/>
        <v>5.925</v>
      </c>
      <c r="F1219">
        <v>1.0</v>
      </c>
      <c r="G1219">
        <v>2.0</v>
      </c>
      <c r="H1219" t="str">
        <f t="shared" si="2"/>
        <v>2</v>
      </c>
      <c r="I1219">
        <v>102.0</v>
      </c>
      <c r="J1219" t="str">
        <f t="shared" si="3"/>
        <v>323.85</v>
      </c>
      <c r="K1219" t="str">
        <f t="shared" si="4"/>
        <v>770.763</v>
      </c>
      <c r="L1219" t="str">
        <f t="shared" si="5"/>
        <v>38.53815</v>
      </c>
      <c r="M1219" t="str">
        <f t="shared" si="6"/>
        <v>238</v>
      </c>
      <c r="N1219" t="s">
        <v>187</v>
      </c>
      <c r="O1219" t="s">
        <v>2198</v>
      </c>
      <c r="P1219" t="s">
        <v>2197</v>
      </c>
    </row>
    <row r="1220" ht="15.75" customHeight="1">
      <c r="A1220">
        <v>1224.0</v>
      </c>
      <c r="B1220">
        <v>218.0</v>
      </c>
      <c r="C1220">
        <v>156.0</v>
      </c>
      <c r="D1220">
        <v>3.0</v>
      </c>
      <c r="E1220" t="str">
        <f t="shared" si="1"/>
        <v>5.925</v>
      </c>
      <c r="F1220">
        <v>1.0</v>
      </c>
      <c r="G1220">
        <v>2.0</v>
      </c>
      <c r="H1220" t="str">
        <f t="shared" si="2"/>
        <v>2</v>
      </c>
      <c r="I1220">
        <v>102.0</v>
      </c>
      <c r="J1220" t="str">
        <f t="shared" si="3"/>
        <v>323.85</v>
      </c>
      <c r="K1220" t="str">
        <f t="shared" si="4"/>
        <v>770.763</v>
      </c>
      <c r="L1220" t="str">
        <f t="shared" si="5"/>
        <v>38.53815</v>
      </c>
      <c r="M1220" t="str">
        <f t="shared" si="6"/>
        <v>238</v>
      </c>
      <c r="N1220" t="s">
        <v>187</v>
      </c>
      <c r="O1220" t="s">
        <v>2199</v>
      </c>
      <c r="P1220" t="s">
        <v>2197</v>
      </c>
    </row>
    <row r="1221" ht="15.75" customHeight="1">
      <c r="A1221">
        <v>1225.0</v>
      </c>
      <c r="B1221">
        <v>75.0</v>
      </c>
      <c r="C1221">
        <v>75.0</v>
      </c>
      <c r="D1221">
        <v>3.0</v>
      </c>
      <c r="E1221" t="str">
        <f t="shared" si="1"/>
        <v>2.7875</v>
      </c>
      <c r="F1221">
        <v>5.0</v>
      </c>
      <c r="G1221">
        <v>4.0</v>
      </c>
      <c r="H1221" t="str">
        <f t="shared" si="2"/>
        <v>20</v>
      </c>
      <c r="I1221">
        <v>98.0</v>
      </c>
      <c r="J1221" t="str">
        <f t="shared" si="3"/>
        <v>311.15</v>
      </c>
      <c r="K1221" t="str">
        <f t="shared" si="4"/>
        <v>1266.3805</v>
      </c>
      <c r="L1221" t="str">
        <f t="shared" si="5"/>
        <v>6.3319025</v>
      </c>
      <c r="M1221" t="str">
        <f t="shared" si="6"/>
        <v>407</v>
      </c>
      <c r="N1221" t="s">
        <v>187</v>
      </c>
      <c r="O1221" t="s">
        <v>2200</v>
      </c>
      <c r="P1221" t="s">
        <v>2201</v>
      </c>
    </row>
    <row r="1222" ht="15.75" customHeight="1">
      <c r="A1222">
        <v>1226.0</v>
      </c>
      <c r="B1222">
        <v>18.0</v>
      </c>
      <c r="C1222">
        <v>285.0</v>
      </c>
      <c r="D1222">
        <v>3.0</v>
      </c>
      <c r="E1222" t="str">
        <f t="shared" si="1"/>
        <v>19.8</v>
      </c>
      <c r="F1222">
        <v>17.0</v>
      </c>
      <c r="G1222">
        <v>1.0</v>
      </c>
      <c r="H1222" t="str">
        <f t="shared" si="2"/>
        <v>17</v>
      </c>
      <c r="I1222">
        <v>96.0</v>
      </c>
      <c r="J1222" t="str">
        <f t="shared" si="3"/>
        <v>304.8</v>
      </c>
      <c r="K1222" t="str">
        <f t="shared" si="4"/>
        <v>1139.952</v>
      </c>
      <c r="L1222" t="str">
        <f t="shared" si="5"/>
        <v>6.7056</v>
      </c>
      <c r="M1222" t="str">
        <f t="shared" si="6"/>
        <v>374</v>
      </c>
      <c r="N1222" t="s">
        <v>187</v>
      </c>
      <c r="O1222" t="s">
        <v>2202</v>
      </c>
    </row>
    <row r="1223" ht="15.75" customHeight="1">
      <c r="A1223">
        <v>1227.0</v>
      </c>
      <c r="B1223">
        <v>140.0</v>
      </c>
      <c r="C1223">
        <v>140.0</v>
      </c>
      <c r="D1223">
        <v>3.0</v>
      </c>
      <c r="E1223" t="str">
        <f t="shared" si="1"/>
        <v>2.875</v>
      </c>
      <c r="F1223">
        <v>2.0</v>
      </c>
      <c r="G1223">
        <v>3.0</v>
      </c>
      <c r="H1223" t="str">
        <f t="shared" si="2"/>
        <v>6</v>
      </c>
      <c r="I1223">
        <v>135.0</v>
      </c>
      <c r="J1223" t="str">
        <f t="shared" si="3"/>
        <v>428.625</v>
      </c>
      <c r="K1223" t="str">
        <f t="shared" si="4"/>
        <v>1298.73375</v>
      </c>
      <c r="L1223" t="str">
        <f t="shared" si="5"/>
        <v>21.6455625</v>
      </c>
      <c r="M1223" t="str">
        <f t="shared" si="6"/>
        <v>303</v>
      </c>
      <c r="N1223" t="s">
        <v>187</v>
      </c>
      <c r="O1223" t="s">
        <v>2203</v>
      </c>
    </row>
    <row r="1224" ht="15.75" customHeight="1">
      <c r="A1224">
        <v>1228.0</v>
      </c>
      <c r="B1224">
        <v>35.0</v>
      </c>
      <c r="C1224">
        <v>15.0</v>
      </c>
      <c r="D1224">
        <v>3.0</v>
      </c>
      <c r="E1224" t="str">
        <f t="shared" si="1"/>
        <v>2.4625</v>
      </c>
      <c r="F1224">
        <v>8.0</v>
      </c>
      <c r="G1224">
        <v>16.0</v>
      </c>
      <c r="H1224" t="str">
        <f t="shared" si="2"/>
        <v>128</v>
      </c>
      <c r="I1224">
        <v>88.0</v>
      </c>
      <c r="J1224" t="str">
        <f t="shared" si="3"/>
        <v>279.4</v>
      </c>
      <c r="K1224" t="str">
        <f t="shared" si="4"/>
        <v>896.874</v>
      </c>
      <c r="L1224" t="str">
        <f t="shared" si="5"/>
        <v>0.7006828125</v>
      </c>
      <c r="M1224" t="str">
        <f t="shared" si="6"/>
        <v>321</v>
      </c>
      <c r="N1224" t="s">
        <v>182</v>
      </c>
      <c r="O1224" t="s">
        <v>2204</v>
      </c>
    </row>
    <row r="1225" ht="15.75" customHeight="1">
      <c r="A1225">
        <v>1229.0</v>
      </c>
      <c r="B1225">
        <v>80.0</v>
      </c>
      <c r="C1225">
        <v>20.0</v>
      </c>
      <c r="D1225">
        <v>3.0</v>
      </c>
      <c r="E1225" t="str">
        <f t="shared" si="1"/>
        <v>2.86</v>
      </c>
      <c r="F1225">
        <v>4.0</v>
      </c>
      <c r="G1225">
        <v>15.0</v>
      </c>
      <c r="H1225" t="str">
        <f t="shared" si="2"/>
        <v>60</v>
      </c>
      <c r="I1225">
        <v>108.0</v>
      </c>
      <c r="J1225" t="str">
        <f t="shared" si="3"/>
        <v>342.9</v>
      </c>
      <c r="K1225" t="str">
        <f t="shared" si="4"/>
        <v>1196.721</v>
      </c>
      <c r="L1225" t="str">
        <f t="shared" si="5"/>
        <v>1.994535</v>
      </c>
      <c r="M1225" t="str">
        <f t="shared" si="6"/>
        <v>349</v>
      </c>
      <c r="N1225" t="s">
        <v>182</v>
      </c>
      <c r="O1225" t="s">
        <v>2205</v>
      </c>
    </row>
    <row r="1226" ht="15.75" customHeight="1">
      <c r="A1226">
        <v>1230.0</v>
      </c>
      <c r="B1226">
        <v>80.0</v>
      </c>
      <c r="C1226">
        <v>80.0</v>
      </c>
      <c r="D1226">
        <v>3.0</v>
      </c>
      <c r="E1226" t="str">
        <f t="shared" si="1"/>
        <v>3.34375</v>
      </c>
      <c r="F1226">
        <v>4.0</v>
      </c>
      <c r="G1226">
        <v>4.0</v>
      </c>
      <c r="H1226" t="str">
        <f t="shared" si="2"/>
        <v>16</v>
      </c>
      <c r="I1226">
        <v>105.0</v>
      </c>
      <c r="J1226" t="str">
        <f t="shared" si="3"/>
        <v>333.375</v>
      </c>
      <c r="K1226" t="str">
        <f t="shared" si="4"/>
        <v>1163.47875</v>
      </c>
      <c r="L1226" t="str">
        <f t="shared" si="5"/>
        <v>7.271742188</v>
      </c>
      <c r="M1226" t="str">
        <f t="shared" si="6"/>
        <v>349</v>
      </c>
      <c r="N1226" t="s">
        <v>182</v>
      </c>
      <c r="O1226" t="s">
        <v>2206</v>
      </c>
    </row>
    <row r="1227" ht="15.75" customHeight="1">
      <c r="A1227">
        <v>1231.0</v>
      </c>
      <c r="B1227">
        <v>85.0</v>
      </c>
      <c r="C1227">
        <v>40.0</v>
      </c>
      <c r="D1227">
        <v>3.0</v>
      </c>
      <c r="E1227" t="str">
        <f t="shared" si="1"/>
        <v>3.542857143</v>
      </c>
      <c r="F1227">
        <v>4.0</v>
      </c>
      <c r="G1227">
        <v>7.0</v>
      </c>
      <c r="H1227" t="str">
        <f t="shared" si="2"/>
        <v>28</v>
      </c>
      <c r="I1227">
        <v>96.0</v>
      </c>
      <c r="J1227" t="str">
        <f t="shared" si="3"/>
        <v>304.8</v>
      </c>
      <c r="K1227" t="str">
        <f t="shared" si="4"/>
        <v>1124.712</v>
      </c>
      <c r="L1227" t="str">
        <f t="shared" si="5"/>
        <v>4.016828571</v>
      </c>
      <c r="M1227" t="str">
        <f t="shared" si="6"/>
        <v>369</v>
      </c>
      <c r="N1227" t="s">
        <v>182</v>
      </c>
      <c r="O1227" t="s">
        <v>2207</v>
      </c>
    </row>
    <row r="1228" ht="15.75" customHeight="1">
      <c r="A1228">
        <v>1232.0</v>
      </c>
      <c r="B1228">
        <v>23.0</v>
      </c>
      <c r="C1228">
        <v>170.0</v>
      </c>
      <c r="D1228">
        <v>3.0</v>
      </c>
      <c r="E1228" t="str">
        <f t="shared" si="1"/>
        <v>4.625</v>
      </c>
      <c r="F1228">
        <v>12.0</v>
      </c>
      <c r="G1228">
        <v>2.0</v>
      </c>
      <c r="H1228" t="str">
        <f t="shared" si="2"/>
        <v>24</v>
      </c>
      <c r="I1228">
        <v>110.0</v>
      </c>
      <c r="J1228" t="str">
        <f t="shared" si="3"/>
        <v>349.25</v>
      </c>
      <c r="K1228" t="str">
        <f t="shared" si="4"/>
        <v>1149.0325</v>
      </c>
      <c r="L1228" t="str">
        <f t="shared" si="5"/>
        <v>4.787635417</v>
      </c>
      <c r="M1228" t="str">
        <f t="shared" si="6"/>
        <v>329</v>
      </c>
      <c r="N1228" t="s">
        <v>182</v>
      </c>
      <c r="O1228" t="s">
        <v>2208</v>
      </c>
    </row>
    <row r="1229" ht="15.75" customHeight="1">
      <c r="A1229">
        <v>1233.0</v>
      </c>
      <c r="B1229">
        <v>112.0</v>
      </c>
      <c r="C1229">
        <v>147.0</v>
      </c>
      <c r="D1229">
        <v>3.0</v>
      </c>
      <c r="E1229" t="str">
        <f t="shared" si="1"/>
        <v>5.4</v>
      </c>
      <c r="F1229">
        <v>3.0</v>
      </c>
      <c r="G1229">
        <v>2.0</v>
      </c>
      <c r="H1229" t="str">
        <f t="shared" si="2"/>
        <v>6</v>
      </c>
      <c r="I1229">
        <v>96.0</v>
      </c>
      <c r="J1229" t="str">
        <f t="shared" si="3"/>
        <v>304.8</v>
      </c>
      <c r="K1229" t="str">
        <f t="shared" si="4"/>
        <v>1103.376</v>
      </c>
      <c r="L1229" t="str">
        <f t="shared" si="5"/>
        <v>18.3896</v>
      </c>
      <c r="M1229" t="str">
        <f t="shared" si="6"/>
        <v>362</v>
      </c>
      <c r="N1229" t="s">
        <v>182</v>
      </c>
      <c r="O1229" t="s">
        <v>2209</v>
      </c>
    </row>
    <row r="1230" ht="15.75" customHeight="1">
      <c r="A1230">
        <v>1234.0</v>
      </c>
      <c r="B1230">
        <v>89.0</v>
      </c>
      <c r="C1230">
        <v>360.0</v>
      </c>
      <c r="D1230">
        <v>3.0</v>
      </c>
      <c r="E1230" t="str">
        <f t="shared" si="1"/>
        <v>21</v>
      </c>
      <c r="F1230">
        <v>4.0</v>
      </c>
      <c r="G1230">
        <v>1.0</v>
      </c>
      <c r="H1230" t="str">
        <f t="shared" si="2"/>
        <v>4</v>
      </c>
      <c r="I1230">
        <v>120.0</v>
      </c>
      <c r="J1230" t="str">
        <f t="shared" si="3"/>
        <v>381</v>
      </c>
      <c r="K1230" t="str">
        <f t="shared" si="4"/>
        <v>1466.85</v>
      </c>
      <c r="L1230" t="str">
        <f t="shared" si="5"/>
        <v>36.67125</v>
      </c>
      <c r="M1230" t="str">
        <f t="shared" si="6"/>
        <v>385</v>
      </c>
      <c r="N1230" t="s">
        <v>182</v>
      </c>
      <c r="O1230" t="s">
        <v>2210</v>
      </c>
    </row>
    <row r="1231" ht="15.75" customHeight="1">
      <c r="A1231">
        <v>1235.0</v>
      </c>
      <c r="B1231">
        <v>69.85</v>
      </c>
      <c r="C1231">
        <v>137.583</v>
      </c>
      <c r="D1231">
        <v>3.0</v>
      </c>
      <c r="E1231" t="str">
        <f t="shared" si="1"/>
        <v>5.292</v>
      </c>
      <c r="F1231">
        <v>4.0</v>
      </c>
      <c r="G1231">
        <v>3.0</v>
      </c>
      <c r="H1231" t="str">
        <f t="shared" si="2"/>
        <v>12</v>
      </c>
      <c r="I1231">
        <v>135.0</v>
      </c>
      <c r="J1231" t="str">
        <f t="shared" si="3"/>
        <v>428.625</v>
      </c>
      <c r="K1231" t="str">
        <f t="shared" si="4"/>
        <v>1321.8795</v>
      </c>
      <c r="L1231" t="str">
        <f t="shared" si="5"/>
        <v>11.0156625</v>
      </c>
      <c r="M1231" t="str">
        <f t="shared" si="6"/>
        <v>308.4</v>
      </c>
      <c r="N1231" t="s">
        <v>187</v>
      </c>
      <c r="O1231" t="s">
        <v>2211</v>
      </c>
      <c r="P1231" t="s">
        <v>2138</v>
      </c>
    </row>
    <row r="1232" ht="15.75" customHeight="1">
      <c r="A1232">
        <v>1236.0</v>
      </c>
      <c r="B1232">
        <v>90.0</v>
      </c>
      <c r="C1232">
        <v>200.0</v>
      </c>
      <c r="D1232">
        <v>3.0</v>
      </c>
      <c r="E1232" t="str">
        <f t="shared" si="1"/>
        <v>9.55</v>
      </c>
      <c r="F1232">
        <v>4.0</v>
      </c>
      <c r="G1232">
        <v>2.0</v>
      </c>
      <c r="H1232" t="str">
        <f t="shared" si="2"/>
        <v>8</v>
      </c>
      <c r="I1232">
        <v>132.0</v>
      </c>
      <c r="J1232" t="str">
        <f t="shared" si="3"/>
        <v>419.1</v>
      </c>
      <c r="K1232" t="str">
        <f t="shared" si="4"/>
        <v>1630.299</v>
      </c>
      <c r="L1232" t="str">
        <f t="shared" si="5"/>
        <v>20.3787375</v>
      </c>
      <c r="M1232" t="str">
        <f t="shared" si="6"/>
        <v>389</v>
      </c>
      <c r="N1232" t="s">
        <v>182</v>
      </c>
      <c r="O1232" t="s">
        <v>2212</v>
      </c>
      <c r="P1232" t="s">
        <v>2213</v>
      </c>
    </row>
    <row r="1233" ht="15.75" customHeight="1">
      <c r="A1233">
        <v>1237.0</v>
      </c>
      <c r="B1233">
        <v>110.0</v>
      </c>
      <c r="C1233">
        <v>200.0</v>
      </c>
      <c r="D1233">
        <v>3.0</v>
      </c>
      <c r="E1233" t="str">
        <f t="shared" si="1"/>
        <v>9.55</v>
      </c>
      <c r="F1233">
        <v>3.0</v>
      </c>
      <c r="G1233">
        <v>2.0</v>
      </c>
      <c r="H1233" t="str">
        <f t="shared" si="2"/>
        <v>6</v>
      </c>
      <c r="I1233">
        <v>132.0</v>
      </c>
      <c r="J1233" t="str">
        <f t="shared" si="3"/>
        <v>419.1</v>
      </c>
      <c r="K1233" t="str">
        <f t="shared" si="4"/>
        <v>1491.996</v>
      </c>
      <c r="L1233" t="str">
        <f t="shared" si="5"/>
        <v>24.8666</v>
      </c>
      <c r="M1233" t="str">
        <f t="shared" si="6"/>
        <v>356</v>
      </c>
      <c r="N1233" t="s">
        <v>182</v>
      </c>
      <c r="O1233" t="s">
        <v>2214</v>
      </c>
      <c r="P1233" t="s">
        <v>2215</v>
      </c>
    </row>
    <row r="1234" ht="15.75" customHeight="1">
      <c r="A1234">
        <v>1238.0</v>
      </c>
      <c r="B1234">
        <v>150.0</v>
      </c>
      <c r="C1234">
        <v>240.0</v>
      </c>
      <c r="D1234">
        <v>3.0</v>
      </c>
      <c r="E1234" t="str">
        <f t="shared" si="1"/>
        <v>2.8875</v>
      </c>
      <c r="F1234">
        <v>2.0</v>
      </c>
      <c r="G1234">
        <v>2.0</v>
      </c>
      <c r="H1234" t="str">
        <f t="shared" si="2"/>
        <v>4</v>
      </c>
      <c r="I1234">
        <v>153.0</v>
      </c>
      <c r="J1234" t="str">
        <f t="shared" si="3"/>
        <v>485.775</v>
      </c>
      <c r="K1234" t="str">
        <f t="shared" si="4"/>
        <v>1569.05325</v>
      </c>
      <c r="L1234" t="str">
        <f t="shared" si="5"/>
        <v>39.22633125</v>
      </c>
      <c r="M1234" t="str">
        <f t="shared" si="6"/>
        <v>323</v>
      </c>
      <c r="N1234" t="s">
        <v>182</v>
      </c>
      <c r="O1234" t="s">
        <v>2216</v>
      </c>
      <c r="P1234" t="s">
        <v>2217</v>
      </c>
    </row>
    <row r="1235" ht="15.75" customHeight="1">
      <c r="A1235">
        <v>1239.0</v>
      </c>
      <c r="B1235">
        <v>70.0</v>
      </c>
      <c r="C1235">
        <v>120.0</v>
      </c>
      <c r="D1235">
        <v>3.0</v>
      </c>
      <c r="E1235" t="str">
        <f t="shared" si="1"/>
        <v>7</v>
      </c>
      <c r="F1235">
        <v>4.0</v>
      </c>
      <c r="G1235">
        <v>3.0</v>
      </c>
      <c r="H1235" t="str">
        <f t="shared" si="2"/>
        <v>12</v>
      </c>
      <c r="I1235">
        <v>120.0</v>
      </c>
      <c r="J1235" t="str">
        <f t="shared" si="3"/>
        <v>381</v>
      </c>
      <c r="K1235" t="str">
        <f t="shared" si="4"/>
        <v>1177.29</v>
      </c>
      <c r="L1235" t="str">
        <f t="shared" si="5"/>
        <v>9.81075</v>
      </c>
      <c r="M1235" t="str">
        <f t="shared" si="6"/>
        <v>309</v>
      </c>
      <c r="N1235" t="s">
        <v>182</v>
      </c>
      <c r="O1235" t="s">
        <v>2218</v>
      </c>
      <c r="P1235" t="s">
        <v>2219</v>
      </c>
    </row>
    <row r="1236" ht="15.75" customHeight="1">
      <c r="A1236">
        <v>1240.0</v>
      </c>
      <c r="B1236">
        <v>200.0</v>
      </c>
      <c r="C1236">
        <v>240.0</v>
      </c>
      <c r="D1236">
        <v>3.0</v>
      </c>
      <c r="E1236" t="str">
        <f t="shared" si="1"/>
        <v>2.8875</v>
      </c>
      <c r="F1236">
        <v>2.0</v>
      </c>
      <c r="G1236">
        <v>2.0</v>
      </c>
      <c r="H1236" t="str">
        <f t="shared" si="2"/>
        <v>4</v>
      </c>
      <c r="I1236">
        <v>153.0</v>
      </c>
      <c r="J1236" t="str">
        <f t="shared" si="3"/>
        <v>485.775</v>
      </c>
      <c r="K1236" t="str">
        <f t="shared" si="4"/>
        <v>2054.82825</v>
      </c>
      <c r="L1236" t="str">
        <f t="shared" si="5"/>
        <v>51.37070625</v>
      </c>
      <c r="M1236" t="str">
        <f t="shared" si="6"/>
        <v>423</v>
      </c>
      <c r="N1236" t="s">
        <v>182</v>
      </c>
      <c r="O1236" t="s">
        <v>2220</v>
      </c>
      <c r="P1236" t="s">
        <v>2221</v>
      </c>
    </row>
    <row r="1237" ht="15.75" customHeight="1">
      <c r="A1237">
        <v>1241.0</v>
      </c>
      <c r="B1237">
        <v>37.0</v>
      </c>
      <c r="C1237">
        <v>197.0</v>
      </c>
      <c r="D1237">
        <v>3.0</v>
      </c>
      <c r="E1237" t="str">
        <f t="shared" si="1"/>
        <v>3.025</v>
      </c>
      <c r="F1237">
        <v>8.0</v>
      </c>
      <c r="G1237">
        <v>2.0</v>
      </c>
      <c r="H1237" t="str">
        <f t="shared" si="2"/>
        <v>16</v>
      </c>
      <c r="I1237">
        <v>126.0</v>
      </c>
      <c r="J1237" t="str">
        <f t="shared" si="3"/>
        <v>400.05</v>
      </c>
      <c r="K1237" t="str">
        <f t="shared" si="4"/>
        <v>1348.1685</v>
      </c>
      <c r="L1237" t="str">
        <f t="shared" si="5"/>
        <v>8.426053125</v>
      </c>
      <c r="M1237" t="str">
        <f t="shared" si="6"/>
        <v>337</v>
      </c>
      <c r="N1237" t="s">
        <v>182</v>
      </c>
      <c r="O1237" t="s">
        <v>2222</v>
      </c>
      <c r="P1237" t="s">
        <v>2223</v>
      </c>
    </row>
    <row r="1238" ht="15.75" customHeight="1">
      <c r="A1238">
        <v>1242.0</v>
      </c>
      <c r="B1238">
        <v>135.0</v>
      </c>
      <c r="C1238">
        <v>124.0</v>
      </c>
      <c r="D1238">
        <v>3.0</v>
      </c>
      <c r="E1238" t="str">
        <f t="shared" si="1"/>
        <v>3</v>
      </c>
      <c r="F1238">
        <v>2.0</v>
      </c>
      <c r="G1238">
        <v>3.0</v>
      </c>
      <c r="H1238" t="str">
        <f t="shared" si="2"/>
        <v>6</v>
      </c>
      <c r="I1238">
        <v>120.0</v>
      </c>
      <c r="J1238" t="str">
        <f t="shared" si="3"/>
        <v>381</v>
      </c>
      <c r="K1238" t="str">
        <f t="shared" si="4"/>
        <v>1116.33</v>
      </c>
      <c r="L1238" t="str">
        <f t="shared" si="5"/>
        <v>18.6055</v>
      </c>
      <c r="M1238" t="str">
        <f t="shared" si="6"/>
        <v>293</v>
      </c>
      <c r="N1238" t="s">
        <v>187</v>
      </c>
      <c r="O1238" t="s">
        <v>2224</v>
      </c>
      <c r="P1238" t="s">
        <v>2225</v>
      </c>
    </row>
    <row r="1239" ht="15.75" customHeight="1">
      <c r="A1239">
        <v>1243.0</v>
      </c>
      <c r="B1239">
        <v>150.0</v>
      </c>
      <c r="C1239">
        <v>307.0</v>
      </c>
      <c r="D1239">
        <v>5.0</v>
      </c>
      <c r="E1239" t="str">
        <f t="shared" si="1"/>
        <v>4.15</v>
      </c>
      <c r="F1239">
        <v>2.0</v>
      </c>
      <c r="G1239">
        <v>1.0</v>
      </c>
      <c r="H1239" t="str">
        <f t="shared" si="2"/>
        <v>2</v>
      </c>
      <c r="I1239">
        <v>98.0</v>
      </c>
      <c r="J1239" t="str">
        <f t="shared" si="3"/>
        <v>311.15</v>
      </c>
      <c r="K1239" t="str">
        <f t="shared" si="4"/>
        <v>1017.4605</v>
      </c>
      <c r="L1239" t="str">
        <f t="shared" si="5"/>
        <v>50.873025</v>
      </c>
      <c r="M1239" t="str">
        <f t="shared" si="6"/>
        <v>327</v>
      </c>
      <c r="N1239" t="s">
        <v>187</v>
      </c>
      <c r="O1239" t="s">
        <v>2226</v>
      </c>
      <c r="P1239" t="s">
        <v>2227</v>
      </c>
    </row>
    <row r="1240" ht="15.75" customHeight="1">
      <c r="A1240">
        <v>1244.0</v>
      </c>
      <c r="B1240">
        <v>132.0</v>
      </c>
      <c r="C1240">
        <v>85.0</v>
      </c>
      <c r="D1240">
        <v>3.0</v>
      </c>
      <c r="E1240" t="str">
        <f t="shared" si="1"/>
        <v>3.9</v>
      </c>
      <c r="F1240">
        <v>2.0</v>
      </c>
      <c r="G1240">
        <v>3.0</v>
      </c>
      <c r="H1240" t="str">
        <f t="shared" si="2"/>
        <v>6</v>
      </c>
      <c r="I1240">
        <v>84.0</v>
      </c>
      <c r="J1240" t="str">
        <f t="shared" si="3"/>
        <v>266.7</v>
      </c>
      <c r="K1240" t="str">
        <f t="shared" si="4"/>
        <v>765.429</v>
      </c>
      <c r="L1240" t="str">
        <f t="shared" si="5"/>
        <v>12.75715</v>
      </c>
      <c r="M1240" t="str">
        <f t="shared" si="6"/>
        <v>287</v>
      </c>
      <c r="N1240" t="s">
        <v>182</v>
      </c>
      <c r="O1240" t="s">
        <v>2228</v>
      </c>
      <c r="P1240" s="126" t="s">
        <v>2229</v>
      </c>
    </row>
    <row r="1241" ht="15.75" customHeight="1">
      <c r="A1241">
        <v>1245.0</v>
      </c>
      <c r="B1241">
        <v>35.0</v>
      </c>
      <c r="C1241">
        <v>35.0</v>
      </c>
      <c r="D1241">
        <v>3.0</v>
      </c>
      <c r="E1241" t="str">
        <f t="shared" si="1"/>
        <v>3.1</v>
      </c>
      <c r="F1241">
        <v>10.0</v>
      </c>
      <c r="G1241">
        <v>8.0</v>
      </c>
      <c r="H1241" t="str">
        <f t="shared" si="2"/>
        <v>80</v>
      </c>
      <c r="I1241">
        <v>96.0</v>
      </c>
      <c r="J1241" t="str">
        <f t="shared" si="3"/>
        <v>304.8</v>
      </c>
      <c r="K1241" t="str">
        <f t="shared" si="4"/>
        <v>1210.056</v>
      </c>
      <c r="L1241" t="str">
        <f t="shared" si="5"/>
        <v>1.51257</v>
      </c>
      <c r="M1241" t="str">
        <f t="shared" si="6"/>
        <v>397</v>
      </c>
      <c r="N1241" t="s">
        <v>187</v>
      </c>
      <c r="O1241" t="s">
        <v>2230</v>
      </c>
    </row>
    <row r="1242" ht="15.75" customHeight="1">
      <c r="A1242">
        <v>1246.0</v>
      </c>
      <c r="B1242">
        <v>35.0</v>
      </c>
      <c r="C1242">
        <v>35.0</v>
      </c>
      <c r="D1242">
        <v>3.75</v>
      </c>
      <c r="E1242" t="str">
        <f t="shared" si="1"/>
        <v>3.1</v>
      </c>
      <c r="F1242">
        <v>5.0</v>
      </c>
      <c r="G1242">
        <v>8.0</v>
      </c>
      <c r="H1242" t="str">
        <f t="shared" si="2"/>
        <v>40</v>
      </c>
      <c r="I1242">
        <v>96.0</v>
      </c>
      <c r="J1242" t="str">
        <f t="shared" si="3"/>
        <v>304.8</v>
      </c>
      <c r="K1242" t="str">
        <f t="shared" si="4"/>
        <v>642.366</v>
      </c>
      <c r="L1242" t="str">
        <f t="shared" si="5"/>
        <v>1.605915</v>
      </c>
      <c r="M1242" t="str">
        <f t="shared" si="6"/>
        <v>210.75</v>
      </c>
      <c r="N1242" t="s">
        <v>187</v>
      </c>
      <c r="O1242" t="s">
        <v>2231</v>
      </c>
      <c r="P1242" t="s">
        <v>2232</v>
      </c>
    </row>
    <row r="1243" ht="15.75" customHeight="1">
      <c r="A1243">
        <v>1247.0</v>
      </c>
      <c r="B1243">
        <v>254.0</v>
      </c>
      <c r="C1243">
        <v>113.0</v>
      </c>
      <c r="D1243">
        <v>3.0</v>
      </c>
      <c r="E1243" t="str">
        <f t="shared" si="1"/>
        <v>3.416666667</v>
      </c>
      <c r="F1243">
        <v>1.0</v>
      </c>
      <c r="G1243">
        <v>3.0</v>
      </c>
      <c r="H1243" t="str">
        <f t="shared" si="2"/>
        <v>3</v>
      </c>
      <c r="I1243">
        <v>110.0</v>
      </c>
      <c r="J1243" t="str">
        <f t="shared" si="3"/>
        <v>349.25</v>
      </c>
      <c r="K1243" t="str">
        <f t="shared" si="4"/>
        <v>956.945</v>
      </c>
      <c r="L1243" t="str">
        <f t="shared" si="5"/>
        <v>31.89816667</v>
      </c>
      <c r="M1243" t="str">
        <f t="shared" si="6"/>
        <v>274</v>
      </c>
      <c r="N1243" t="s">
        <v>182</v>
      </c>
      <c r="O1243" t="s">
        <v>2233</v>
      </c>
    </row>
    <row r="1244" ht="15.75" customHeight="1">
      <c r="A1244">
        <v>1248.0</v>
      </c>
      <c r="B1244">
        <v>35.0</v>
      </c>
      <c r="C1244">
        <v>85.0</v>
      </c>
      <c r="D1244">
        <v>3.0</v>
      </c>
      <c r="E1244" t="str">
        <f t="shared" si="1"/>
        <v>3.9</v>
      </c>
      <c r="F1244">
        <v>9.0</v>
      </c>
      <c r="G1244">
        <v>3.0</v>
      </c>
      <c r="H1244" t="str">
        <f t="shared" si="2"/>
        <v>27</v>
      </c>
      <c r="I1244">
        <v>84.0</v>
      </c>
      <c r="J1244" t="str">
        <f t="shared" si="3"/>
        <v>266.7</v>
      </c>
      <c r="K1244" t="str">
        <f t="shared" si="4"/>
        <v>957.453</v>
      </c>
      <c r="L1244" t="str">
        <f t="shared" si="5"/>
        <v>3.546122222</v>
      </c>
      <c r="M1244" t="str">
        <f t="shared" si="6"/>
        <v>359</v>
      </c>
      <c r="N1244" t="s">
        <v>182</v>
      </c>
      <c r="O1244" t="s">
        <v>2234</v>
      </c>
    </row>
    <row r="1245" ht="15.75" customHeight="1">
      <c r="A1245">
        <v>1249.0</v>
      </c>
      <c r="B1245">
        <v>50.0</v>
      </c>
      <c r="C1245">
        <v>170.0</v>
      </c>
      <c r="D1245">
        <v>3.0</v>
      </c>
      <c r="E1245" t="str">
        <f t="shared" si="1"/>
        <v>4.625</v>
      </c>
      <c r="F1245">
        <v>7.0</v>
      </c>
      <c r="G1245">
        <v>3.0</v>
      </c>
      <c r="H1245" t="str">
        <f t="shared" si="2"/>
        <v>21</v>
      </c>
      <c r="I1245">
        <v>165.0</v>
      </c>
      <c r="J1245" t="str">
        <f t="shared" si="3"/>
        <v>523.875</v>
      </c>
      <c r="K1245" t="str">
        <f t="shared" si="4"/>
        <v>2032.635</v>
      </c>
      <c r="L1245" t="str">
        <f t="shared" si="5"/>
        <v>9.679214286</v>
      </c>
      <c r="M1245" t="str">
        <f t="shared" si="6"/>
        <v>388</v>
      </c>
      <c r="N1245" t="s">
        <v>182</v>
      </c>
      <c r="O1245" t="s">
        <v>2235</v>
      </c>
    </row>
    <row r="1246" ht="15.75" customHeight="1">
      <c r="A1246">
        <v>1250.0</v>
      </c>
      <c r="B1246">
        <v>91.56</v>
      </c>
      <c r="C1246">
        <v>125.119</v>
      </c>
      <c r="D1246">
        <v>3.0</v>
      </c>
      <c r="E1246" t="str">
        <f t="shared" si="1"/>
        <v>5.84975</v>
      </c>
      <c r="F1246">
        <v>3.0</v>
      </c>
      <c r="G1246">
        <v>4.0</v>
      </c>
      <c r="H1246" t="str">
        <f t="shared" si="2"/>
        <v>12</v>
      </c>
      <c r="I1246">
        <v>165.0</v>
      </c>
      <c r="J1246" t="str">
        <f t="shared" si="3"/>
        <v>523.875</v>
      </c>
      <c r="K1246" t="str">
        <f t="shared" si="4"/>
        <v>1575.18735</v>
      </c>
      <c r="L1246" t="str">
        <f t="shared" si="5"/>
        <v>13.12656125</v>
      </c>
      <c r="M1246" t="str">
        <f t="shared" si="6"/>
        <v>300.68</v>
      </c>
      <c r="N1246" t="s">
        <v>187</v>
      </c>
      <c r="O1246" t="s">
        <v>2236</v>
      </c>
      <c r="P1246" t="s">
        <v>2237</v>
      </c>
    </row>
    <row r="1247" ht="15.75" customHeight="1">
      <c r="A1247">
        <v>1251.0</v>
      </c>
      <c r="B1247">
        <v>87.18</v>
      </c>
      <c r="C1247">
        <v>149.413</v>
      </c>
      <c r="D1247">
        <v>3.0</v>
      </c>
      <c r="E1247" t="str">
        <f t="shared" si="1"/>
        <v>2.987</v>
      </c>
      <c r="F1247">
        <v>3.0</v>
      </c>
      <c r="G1247">
        <v>2.0</v>
      </c>
      <c r="H1247" t="str">
        <f t="shared" si="2"/>
        <v>6</v>
      </c>
      <c r="I1247">
        <v>96.0</v>
      </c>
      <c r="J1247" t="str">
        <f t="shared" si="3"/>
        <v>304.8</v>
      </c>
      <c r="K1247" t="str">
        <f t="shared" si="4"/>
        <v>876.42192</v>
      </c>
      <c r="L1247" t="str">
        <f t="shared" si="5"/>
        <v>14.607032</v>
      </c>
      <c r="M1247" t="str">
        <f t="shared" si="6"/>
        <v>287.54</v>
      </c>
      <c r="N1247" t="s">
        <v>187</v>
      </c>
      <c r="O1247" t="s">
        <v>2238</v>
      </c>
      <c r="P1247" t="s">
        <v>2239</v>
      </c>
    </row>
    <row r="1248" ht="15.75" customHeight="1">
      <c r="A1248">
        <v>1252.0</v>
      </c>
      <c r="B1248">
        <v>40.0</v>
      </c>
      <c r="C1248">
        <v>35.0</v>
      </c>
      <c r="D1248">
        <v>3.0</v>
      </c>
      <c r="E1248" t="str">
        <f t="shared" si="1"/>
        <v>3.1</v>
      </c>
      <c r="F1248">
        <v>8.0</v>
      </c>
      <c r="G1248">
        <v>7.0</v>
      </c>
      <c r="H1248" t="str">
        <f t="shared" si="2"/>
        <v>56</v>
      </c>
      <c r="I1248">
        <v>84.0</v>
      </c>
      <c r="J1248" t="str">
        <f t="shared" si="3"/>
        <v>266.7</v>
      </c>
      <c r="K1248" t="str">
        <f t="shared" si="4"/>
        <v>962.787</v>
      </c>
      <c r="L1248" t="str">
        <f t="shared" si="5"/>
        <v>1.7192625</v>
      </c>
      <c r="M1248" t="str">
        <f t="shared" si="6"/>
        <v>361</v>
      </c>
      <c r="N1248" t="s">
        <v>182</v>
      </c>
      <c r="O1248" t="s">
        <v>2240</v>
      </c>
    </row>
    <row r="1249" ht="15.75" customHeight="1">
      <c r="A1249">
        <v>1253.0</v>
      </c>
      <c r="B1249">
        <v>74.0</v>
      </c>
      <c r="C1249">
        <v>164.0</v>
      </c>
      <c r="D1249">
        <v>3.0</v>
      </c>
      <c r="E1249" t="str">
        <f t="shared" si="1"/>
        <v>2.6875</v>
      </c>
      <c r="F1249">
        <v>4.0</v>
      </c>
      <c r="G1249">
        <v>2.0</v>
      </c>
      <c r="H1249" t="str">
        <f t="shared" si="2"/>
        <v>8</v>
      </c>
      <c r="I1249">
        <v>105.0</v>
      </c>
      <c r="J1249" t="str">
        <f t="shared" si="3"/>
        <v>333.375</v>
      </c>
      <c r="K1249" t="str">
        <f t="shared" si="4"/>
        <v>1083.46875</v>
      </c>
      <c r="L1249" t="str">
        <f t="shared" si="5"/>
        <v>13.54335938</v>
      </c>
      <c r="M1249" t="str">
        <f t="shared" si="6"/>
        <v>325</v>
      </c>
      <c r="N1249" t="s">
        <v>182</v>
      </c>
      <c r="O1249" t="s">
        <v>2241</v>
      </c>
    </row>
    <row r="1250" ht="15.75" customHeight="1">
      <c r="A1250">
        <v>1254.0</v>
      </c>
      <c r="B1250">
        <v>105.0</v>
      </c>
      <c r="C1250">
        <v>210.0</v>
      </c>
      <c r="D1250">
        <v>3.0</v>
      </c>
      <c r="E1250" t="str">
        <f t="shared" si="1"/>
        <v>4.3125</v>
      </c>
      <c r="F1250">
        <v>1.0</v>
      </c>
      <c r="G1250">
        <v>2.0</v>
      </c>
      <c r="H1250" t="str">
        <f t="shared" si="2"/>
        <v>2</v>
      </c>
      <c r="I1250">
        <v>135.0</v>
      </c>
      <c r="J1250" t="str">
        <f t="shared" si="3"/>
        <v>428.625</v>
      </c>
      <c r="K1250" t="str">
        <f t="shared" si="4"/>
        <v>535.78125</v>
      </c>
      <c r="L1250" t="str">
        <f t="shared" si="5"/>
        <v>26.7890625</v>
      </c>
      <c r="M1250" t="str">
        <f t="shared" si="6"/>
        <v>125</v>
      </c>
      <c r="N1250" t="s">
        <v>187</v>
      </c>
      <c r="O1250" t="s">
        <v>2242</v>
      </c>
      <c r="P1250" t="s">
        <v>2243</v>
      </c>
    </row>
    <row r="1251" ht="15.75" customHeight="1">
      <c r="A1251">
        <v>1255.0</v>
      </c>
      <c r="B1251">
        <v>81.0</v>
      </c>
      <c r="C1251">
        <v>133.0</v>
      </c>
      <c r="D1251">
        <v>3.0</v>
      </c>
      <c r="E1251" t="str">
        <f t="shared" si="1"/>
        <v>3.525</v>
      </c>
      <c r="F1251">
        <v>4.0</v>
      </c>
      <c r="G1251">
        <v>2.0</v>
      </c>
      <c r="H1251" t="str">
        <f t="shared" si="2"/>
        <v>8</v>
      </c>
      <c r="I1251">
        <v>86.0</v>
      </c>
      <c r="J1251" t="str">
        <f t="shared" si="3"/>
        <v>273.05</v>
      </c>
      <c r="K1251" t="str">
        <f t="shared" si="4"/>
        <v>963.8665</v>
      </c>
      <c r="L1251" t="str">
        <f t="shared" si="5"/>
        <v>12.04833125</v>
      </c>
      <c r="M1251" t="str">
        <f t="shared" si="6"/>
        <v>353</v>
      </c>
      <c r="N1251" t="s">
        <v>182</v>
      </c>
      <c r="O1251" t="s">
        <v>2244</v>
      </c>
    </row>
    <row r="1252" ht="15.75" customHeight="1">
      <c r="A1252">
        <v>1256.0</v>
      </c>
      <c r="B1252">
        <v>24.0</v>
      </c>
      <c r="C1252">
        <v>54.0</v>
      </c>
      <c r="D1252">
        <v>3.0</v>
      </c>
      <c r="E1252" t="str">
        <f t="shared" si="1"/>
        <v>3.15</v>
      </c>
      <c r="F1252">
        <v>9.0</v>
      </c>
      <c r="G1252">
        <v>6.0</v>
      </c>
      <c r="H1252" t="str">
        <f t="shared" si="2"/>
        <v>54</v>
      </c>
      <c r="I1252">
        <v>108.0</v>
      </c>
      <c r="J1252" t="str">
        <f t="shared" si="3"/>
        <v>342.9</v>
      </c>
      <c r="K1252" t="str">
        <f t="shared" si="4"/>
        <v>891.54</v>
      </c>
      <c r="L1252" t="str">
        <f t="shared" si="5"/>
        <v>1.651</v>
      </c>
      <c r="M1252" t="str">
        <f t="shared" si="6"/>
        <v>260</v>
      </c>
      <c r="N1252" t="s">
        <v>182</v>
      </c>
      <c r="O1252" t="s">
        <v>2245</v>
      </c>
    </row>
    <row r="1253" ht="15.75" customHeight="1">
      <c r="A1253">
        <v>1257.0</v>
      </c>
      <c r="B1253">
        <v>142.0</v>
      </c>
      <c r="C1253">
        <v>45.0</v>
      </c>
      <c r="D1253">
        <v>5.0</v>
      </c>
      <c r="E1253" t="str">
        <f t="shared" si="1"/>
        <v>3.985714286</v>
      </c>
      <c r="F1253">
        <v>2.0</v>
      </c>
      <c r="G1253">
        <v>7.0</v>
      </c>
      <c r="H1253" t="str">
        <f t="shared" si="2"/>
        <v>14</v>
      </c>
      <c r="I1253">
        <v>108.0</v>
      </c>
      <c r="J1253" t="str">
        <f t="shared" si="3"/>
        <v>342.9</v>
      </c>
      <c r="K1253" t="str">
        <f t="shared" si="4"/>
        <v>1066.419</v>
      </c>
      <c r="L1253" t="str">
        <f t="shared" si="5"/>
        <v>7.617278571</v>
      </c>
      <c r="M1253" t="str">
        <f t="shared" si="6"/>
        <v>311</v>
      </c>
      <c r="N1253" t="s">
        <v>182</v>
      </c>
      <c r="O1253" t="s">
        <v>2246</v>
      </c>
      <c r="P1253" s="126" t="s">
        <v>2247</v>
      </c>
    </row>
    <row r="1254" ht="15.75" customHeight="1">
      <c r="A1254">
        <v>1258.0</v>
      </c>
      <c r="B1254">
        <v>71.0</v>
      </c>
      <c r="C1254">
        <v>68.0</v>
      </c>
      <c r="D1254">
        <v>3.0</v>
      </c>
      <c r="E1254" t="str">
        <f t="shared" si="1"/>
        <v>3.4375</v>
      </c>
      <c r="F1254">
        <v>4.0</v>
      </c>
      <c r="G1254">
        <v>4.0</v>
      </c>
      <c r="H1254" t="str">
        <f t="shared" si="2"/>
        <v>16</v>
      </c>
      <c r="I1254">
        <v>90.0</v>
      </c>
      <c r="J1254" t="str">
        <f t="shared" si="3"/>
        <v>285.75</v>
      </c>
      <c r="K1254" t="str">
        <f t="shared" si="4"/>
        <v>894.3975</v>
      </c>
      <c r="L1254" t="str">
        <f t="shared" si="5"/>
        <v>5.589984375</v>
      </c>
      <c r="M1254" t="str">
        <f t="shared" si="6"/>
        <v>313</v>
      </c>
      <c r="N1254" t="s">
        <v>182</v>
      </c>
      <c r="O1254" t="s">
        <v>2248</v>
      </c>
      <c r="P1254" t="s">
        <v>2249</v>
      </c>
    </row>
    <row r="1255" ht="15.75" customHeight="1">
      <c r="A1255">
        <v>1259.0</v>
      </c>
      <c r="B1255">
        <v>85.0</v>
      </c>
      <c r="C1255">
        <v>53.0</v>
      </c>
      <c r="D1255">
        <v>3.0</v>
      </c>
      <c r="E1255" t="str">
        <f t="shared" si="1"/>
        <v>4.15</v>
      </c>
      <c r="F1255">
        <v>4.0</v>
      </c>
      <c r="G1255">
        <v>6.0</v>
      </c>
      <c r="H1255" t="str">
        <f t="shared" si="2"/>
        <v>24</v>
      </c>
      <c r="I1255">
        <v>108.0</v>
      </c>
      <c r="J1255" t="str">
        <f t="shared" si="3"/>
        <v>342.9</v>
      </c>
      <c r="K1255" t="str">
        <f t="shared" si="4"/>
        <v>1265.301</v>
      </c>
      <c r="L1255" t="str">
        <f t="shared" si="5"/>
        <v>5.2720875</v>
      </c>
      <c r="M1255" t="str">
        <f t="shared" si="6"/>
        <v>369</v>
      </c>
      <c r="N1255" t="s">
        <v>187</v>
      </c>
      <c r="O1255" t="s">
        <v>2250</v>
      </c>
      <c r="P1255" t="s">
        <v>2251</v>
      </c>
    </row>
    <row r="1256" ht="15.75" customHeight="1">
      <c r="A1256">
        <v>1260.0</v>
      </c>
      <c r="B1256">
        <v>99.0</v>
      </c>
      <c r="C1256">
        <v>150.0</v>
      </c>
      <c r="D1256">
        <v>3.0</v>
      </c>
      <c r="E1256" t="str">
        <f t="shared" si="1"/>
        <v>5.575</v>
      </c>
      <c r="F1256">
        <v>3.0</v>
      </c>
      <c r="G1256">
        <v>2.0</v>
      </c>
      <c r="H1256" t="str">
        <f t="shared" si="2"/>
        <v>6</v>
      </c>
      <c r="I1256">
        <v>98.0</v>
      </c>
      <c r="J1256" t="str">
        <f t="shared" si="3"/>
        <v>311.15</v>
      </c>
      <c r="K1256" t="str">
        <f t="shared" si="4"/>
        <v>1005.0145</v>
      </c>
      <c r="L1256" t="str">
        <f t="shared" si="5"/>
        <v>16.75024167</v>
      </c>
      <c r="M1256" t="str">
        <f t="shared" si="6"/>
        <v>323</v>
      </c>
      <c r="N1256" t="s">
        <v>187</v>
      </c>
      <c r="O1256" t="s">
        <v>2252</v>
      </c>
      <c r="P1256" s="126" t="s">
        <v>2253</v>
      </c>
    </row>
    <row r="1257" ht="15.75" customHeight="1">
      <c r="A1257">
        <v>1261.0</v>
      </c>
      <c r="B1257">
        <v>35.0</v>
      </c>
      <c r="C1257">
        <v>45.0</v>
      </c>
      <c r="D1257">
        <v>3.0</v>
      </c>
      <c r="E1257" t="str">
        <f t="shared" si="1"/>
        <v>2.625</v>
      </c>
      <c r="F1257">
        <v>9.0</v>
      </c>
      <c r="G1257">
        <v>6.0</v>
      </c>
      <c r="H1257" t="str">
        <f t="shared" si="2"/>
        <v>54</v>
      </c>
      <c r="I1257">
        <v>90.0</v>
      </c>
      <c r="J1257" t="str">
        <f t="shared" si="3"/>
        <v>285.75</v>
      </c>
      <c r="K1257" t="str">
        <f t="shared" si="4"/>
        <v>1025.8425</v>
      </c>
      <c r="L1257" t="str">
        <f t="shared" si="5"/>
        <v>1.899708333</v>
      </c>
      <c r="M1257" t="str">
        <f t="shared" si="6"/>
        <v>359</v>
      </c>
      <c r="N1257" t="s">
        <v>187</v>
      </c>
      <c r="O1257" t="s">
        <v>2254</v>
      </c>
    </row>
    <row r="1258" ht="15.75" customHeight="1">
      <c r="A1258">
        <v>1262.0</v>
      </c>
      <c r="B1258">
        <v>96.0</v>
      </c>
      <c r="C1258">
        <v>70.0</v>
      </c>
      <c r="D1258">
        <v>3.0</v>
      </c>
      <c r="E1258" t="str">
        <f t="shared" si="1"/>
        <v>6.2</v>
      </c>
      <c r="F1258">
        <v>1.0</v>
      </c>
      <c r="G1258">
        <v>5.0</v>
      </c>
      <c r="H1258" t="str">
        <f t="shared" si="2"/>
        <v>5</v>
      </c>
      <c r="I1258">
        <v>120.0</v>
      </c>
      <c r="J1258" t="str">
        <f t="shared" si="3"/>
        <v>381</v>
      </c>
      <c r="K1258" t="str">
        <f t="shared" si="4"/>
        <v>441.96</v>
      </c>
      <c r="L1258" t="str">
        <f t="shared" si="5"/>
        <v>8.8392</v>
      </c>
      <c r="M1258" t="str">
        <f t="shared" si="6"/>
        <v>116</v>
      </c>
      <c r="N1258" t="s">
        <v>187</v>
      </c>
      <c r="O1258" t="s">
        <v>2255</v>
      </c>
      <c r="P1258" t="s">
        <v>2256</v>
      </c>
    </row>
    <row r="1259" ht="15.75" customHeight="1">
      <c r="A1259">
        <v>1263.0</v>
      </c>
      <c r="B1259">
        <v>64.1</v>
      </c>
      <c r="C1259">
        <v>266.1</v>
      </c>
      <c r="D1259">
        <v>4.0</v>
      </c>
      <c r="E1259" t="str">
        <f t="shared" si="1"/>
        <v>6.95</v>
      </c>
      <c r="F1259">
        <v>5.0</v>
      </c>
      <c r="G1259">
        <v>1.0</v>
      </c>
      <c r="H1259" t="str">
        <f t="shared" si="2"/>
        <v>5</v>
      </c>
      <c r="I1259">
        <v>86.0</v>
      </c>
      <c r="J1259" t="str">
        <f t="shared" si="3"/>
        <v>273.05</v>
      </c>
      <c r="K1259" t="str">
        <f t="shared" si="4"/>
        <v>976.15375</v>
      </c>
      <c r="L1259" t="str">
        <f t="shared" si="5"/>
        <v>19.523075</v>
      </c>
      <c r="M1259" t="str">
        <f t="shared" si="6"/>
        <v>357.5</v>
      </c>
      <c r="N1259" t="s">
        <v>182</v>
      </c>
      <c r="O1259" t="s">
        <v>2257</v>
      </c>
    </row>
    <row r="1260" ht="15.75" customHeight="1">
      <c r="A1260">
        <v>1264.0</v>
      </c>
      <c r="B1260">
        <v>60.0</v>
      </c>
      <c r="C1260">
        <v>47.0</v>
      </c>
      <c r="D1260">
        <v>3.0</v>
      </c>
      <c r="E1260" t="str">
        <f t="shared" si="1"/>
        <v>3.8</v>
      </c>
      <c r="F1260">
        <v>6.0</v>
      </c>
      <c r="G1260">
        <v>6.0</v>
      </c>
      <c r="H1260" t="str">
        <f t="shared" si="2"/>
        <v>36</v>
      </c>
      <c r="I1260">
        <v>96.0</v>
      </c>
      <c r="J1260" t="str">
        <f t="shared" si="3"/>
        <v>304.8</v>
      </c>
      <c r="K1260" t="str">
        <f t="shared" si="4"/>
        <v>1203.96</v>
      </c>
      <c r="L1260" t="str">
        <f t="shared" si="5"/>
        <v>3.344333333</v>
      </c>
      <c r="M1260" t="str">
        <f t="shared" si="6"/>
        <v>395</v>
      </c>
      <c r="N1260" t="s">
        <v>187</v>
      </c>
      <c r="O1260" t="s">
        <v>2258</v>
      </c>
      <c r="P1260" s="126" t="s">
        <v>1552</v>
      </c>
    </row>
    <row r="1261" ht="15.75" customHeight="1">
      <c r="A1261">
        <v>1265.0</v>
      </c>
      <c r="B1261">
        <v>133.0</v>
      </c>
      <c r="C1261">
        <v>50.0</v>
      </c>
      <c r="D1261">
        <v>3.0</v>
      </c>
      <c r="E1261" t="str">
        <f t="shared" si="1"/>
        <v>3.34</v>
      </c>
      <c r="F1261">
        <v>2.0</v>
      </c>
      <c r="G1261">
        <v>5.0</v>
      </c>
      <c r="H1261" t="str">
        <f t="shared" si="2"/>
        <v>10</v>
      </c>
      <c r="I1261">
        <v>84.0</v>
      </c>
      <c r="J1261" t="str">
        <f t="shared" si="3"/>
        <v>266.7</v>
      </c>
      <c r="K1261" t="str">
        <f t="shared" si="4"/>
        <v>770.763</v>
      </c>
      <c r="L1261" t="str">
        <f t="shared" si="5"/>
        <v>7.70763</v>
      </c>
      <c r="M1261" t="str">
        <f t="shared" si="6"/>
        <v>289</v>
      </c>
      <c r="N1261" t="s">
        <v>187</v>
      </c>
      <c r="O1261" t="s">
        <v>2259</v>
      </c>
      <c r="P1261" s="126" t="s">
        <v>2260</v>
      </c>
    </row>
    <row r="1262" ht="15.75" customHeight="1">
      <c r="A1262">
        <v>1266.0</v>
      </c>
      <c r="B1262">
        <v>80.0</v>
      </c>
      <c r="C1262">
        <v>47.0</v>
      </c>
      <c r="D1262">
        <v>3.0</v>
      </c>
      <c r="E1262" t="str">
        <f t="shared" si="1"/>
        <v>2.892857143</v>
      </c>
      <c r="F1262">
        <v>4.0</v>
      </c>
      <c r="G1262">
        <v>7.0</v>
      </c>
      <c r="H1262" t="str">
        <f t="shared" si="2"/>
        <v>28</v>
      </c>
      <c r="I1262">
        <v>110.0</v>
      </c>
      <c r="J1262" t="str">
        <f t="shared" si="3"/>
        <v>349.25</v>
      </c>
      <c r="K1262" t="str">
        <f t="shared" si="4"/>
        <v>1218.8825</v>
      </c>
      <c r="L1262" t="str">
        <f t="shared" si="5"/>
        <v>4.353151786</v>
      </c>
      <c r="M1262" t="str">
        <f t="shared" si="6"/>
        <v>349</v>
      </c>
      <c r="N1262" t="s">
        <v>182</v>
      </c>
      <c r="O1262" t="s">
        <v>2261</v>
      </c>
    </row>
    <row r="1263" ht="15.75" customHeight="1">
      <c r="A1263">
        <v>1267.0</v>
      </c>
      <c r="B1263">
        <v>125.0</v>
      </c>
      <c r="C1263">
        <v>43.0</v>
      </c>
      <c r="D1263">
        <v>4.0</v>
      </c>
      <c r="E1263" t="str">
        <f t="shared" si="1"/>
        <v>3.566666667</v>
      </c>
      <c r="F1263">
        <v>2.0</v>
      </c>
      <c r="G1263">
        <v>6.0</v>
      </c>
      <c r="H1263" t="str">
        <f t="shared" si="2"/>
        <v>12</v>
      </c>
      <c r="I1263">
        <v>88.0</v>
      </c>
      <c r="J1263" t="str">
        <f t="shared" si="3"/>
        <v>279.4</v>
      </c>
      <c r="K1263" t="str">
        <f t="shared" si="4"/>
        <v>768.35</v>
      </c>
      <c r="L1263" t="str">
        <f t="shared" si="5"/>
        <v>6.402916667</v>
      </c>
      <c r="M1263" t="str">
        <f t="shared" si="6"/>
        <v>275</v>
      </c>
      <c r="N1263" t="s">
        <v>187</v>
      </c>
      <c r="O1263" t="s">
        <v>2262</v>
      </c>
      <c r="P1263" s="126" t="s">
        <v>2263</v>
      </c>
    </row>
    <row r="1264" ht="15.75" customHeight="1">
      <c r="A1264">
        <v>1268.0</v>
      </c>
      <c r="B1264">
        <v>80.0</v>
      </c>
      <c r="C1264">
        <v>120.0</v>
      </c>
      <c r="D1264">
        <v>3.0</v>
      </c>
      <c r="E1264" t="str">
        <f t="shared" si="1"/>
        <v>7</v>
      </c>
      <c r="F1264">
        <v>4.0</v>
      </c>
      <c r="G1264">
        <v>3.0</v>
      </c>
      <c r="H1264" t="str">
        <f t="shared" si="2"/>
        <v>12</v>
      </c>
      <c r="I1264">
        <v>120.0</v>
      </c>
      <c r="J1264" t="str">
        <f t="shared" si="3"/>
        <v>381</v>
      </c>
      <c r="K1264" t="str">
        <f t="shared" si="4"/>
        <v>1329.69</v>
      </c>
      <c r="L1264" t="str">
        <f t="shared" si="5"/>
        <v>11.08075</v>
      </c>
      <c r="M1264" t="str">
        <f t="shared" si="6"/>
        <v>349</v>
      </c>
      <c r="N1264" t="s">
        <v>182</v>
      </c>
      <c r="O1264" t="s">
        <v>2264</v>
      </c>
      <c r="P1264" t="s">
        <v>789</v>
      </c>
    </row>
    <row r="1265" ht="15.75" customHeight="1">
      <c r="A1265">
        <v>1269.0</v>
      </c>
      <c r="B1265">
        <v>185.0</v>
      </c>
      <c r="C1265">
        <v>170.0</v>
      </c>
      <c r="D1265">
        <v>5.0</v>
      </c>
      <c r="E1265" t="str">
        <f t="shared" si="1"/>
        <v>4.625</v>
      </c>
      <c r="F1265">
        <v>2.0</v>
      </c>
      <c r="G1265">
        <v>3.0</v>
      </c>
      <c r="H1265" t="str">
        <f t="shared" si="2"/>
        <v>6</v>
      </c>
      <c r="I1265">
        <v>165.0</v>
      </c>
      <c r="J1265" t="str">
        <f t="shared" si="3"/>
        <v>523.875</v>
      </c>
      <c r="K1265" t="str">
        <f t="shared" si="4"/>
        <v>2079.78375</v>
      </c>
      <c r="L1265" t="str">
        <f t="shared" si="5"/>
        <v>34.6630625</v>
      </c>
      <c r="M1265" t="str">
        <f t="shared" si="6"/>
        <v>397</v>
      </c>
      <c r="N1265" t="s">
        <v>187</v>
      </c>
      <c r="O1265" t="s">
        <v>2265</v>
      </c>
      <c r="P1265" t="s">
        <v>2266</v>
      </c>
    </row>
    <row r="1266" ht="15.75" customHeight="1">
      <c r="A1266">
        <v>1270.0</v>
      </c>
      <c r="B1266">
        <v>42.0</v>
      </c>
      <c r="C1266">
        <v>140.0</v>
      </c>
      <c r="D1266">
        <v>3.0</v>
      </c>
      <c r="E1266" t="str">
        <f t="shared" si="1"/>
        <v>2.875</v>
      </c>
      <c r="F1266">
        <v>6.0</v>
      </c>
      <c r="G1266">
        <v>2.0</v>
      </c>
      <c r="H1266" t="str">
        <f t="shared" si="2"/>
        <v>12</v>
      </c>
      <c r="I1266">
        <v>90.0</v>
      </c>
      <c r="J1266" t="str">
        <f t="shared" si="3"/>
        <v>285.75</v>
      </c>
      <c r="K1266" t="str">
        <f t="shared" si="4"/>
        <v>820.1025</v>
      </c>
      <c r="L1266" t="str">
        <f t="shared" si="5"/>
        <v>6.8341875</v>
      </c>
      <c r="M1266" t="str">
        <f t="shared" si="6"/>
        <v>287</v>
      </c>
      <c r="N1266" t="s">
        <v>187</v>
      </c>
      <c r="O1266" t="s">
        <v>2267</v>
      </c>
      <c r="P1266" t="s">
        <v>2268</v>
      </c>
    </row>
    <row r="1267" ht="15.75" customHeight="1">
      <c r="A1267">
        <v>1272.0</v>
      </c>
      <c r="B1267">
        <v>139.362</v>
      </c>
      <c r="C1267">
        <v>116.982</v>
      </c>
      <c r="D1267">
        <v>5.0</v>
      </c>
      <c r="E1267" t="str">
        <f t="shared" si="1"/>
        <v>4.46175</v>
      </c>
      <c r="F1267">
        <v>2.0</v>
      </c>
      <c r="G1267">
        <v>4.0</v>
      </c>
      <c r="H1267" t="str">
        <f t="shared" si="2"/>
        <v>8</v>
      </c>
      <c r="I1267">
        <v>153.0</v>
      </c>
      <c r="J1267" t="str">
        <f t="shared" si="3"/>
        <v>485.775</v>
      </c>
      <c r="K1267" t="str">
        <f t="shared" si="4"/>
        <v>1485.130761</v>
      </c>
      <c r="L1267" t="str">
        <f t="shared" si="5"/>
        <v>18.56413451</v>
      </c>
      <c r="M1267" t="str">
        <f t="shared" si="6"/>
        <v>305.724</v>
      </c>
      <c r="N1267" t="s">
        <v>182</v>
      </c>
      <c r="O1267" t="s">
        <v>2269</v>
      </c>
      <c r="P1267" t="s">
        <v>2270</v>
      </c>
    </row>
    <row r="1268" ht="15.75" customHeight="1">
      <c r="A1268">
        <v>1273.0</v>
      </c>
      <c r="B1268">
        <v>150.8</v>
      </c>
      <c r="C1268">
        <v>136.5</v>
      </c>
      <c r="D1268">
        <v>5.0</v>
      </c>
      <c r="E1268" t="str">
        <f t="shared" si="1"/>
        <v>3.2</v>
      </c>
      <c r="F1268">
        <v>2.0</v>
      </c>
      <c r="G1268">
        <v>3.0</v>
      </c>
      <c r="H1268" t="str">
        <f t="shared" si="2"/>
        <v>6</v>
      </c>
      <c r="I1268">
        <v>132.0</v>
      </c>
      <c r="J1268" t="str">
        <f t="shared" si="3"/>
        <v>419.1</v>
      </c>
      <c r="K1268" t="str">
        <f t="shared" si="4"/>
        <v>1377.1626</v>
      </c>
      <c r="L1268" t="str">
        <f t="shared" si="5"/>
        <v>22.95271</v>
      </c>
      <c r="M1268" t="str">
        <f t="shared" si="6"/>
        <v>328.6</v>
      </c>
      <c r="N1268" t="s">
        <v>182</v>
      </c>
      <c r="O1268" t="s">
        <v>2271</v>
      </c>
      <c r="P1268" t="s">
        <v>2272</v>
      </c>
    </row>
    <row r="1269" ht="15.75" customHeight="1">
      <c r="A1269">
        <v>1274.0</v>
      </c>
      <c r="B1269">
        <v>148.0</v>
      </c>
      <c r="C1269">
        <v>97.0</v>
      </c>
      <c r="D1269">
        <v>3.0</v>
      </c>
      <c r="E1269" t="str">
        <f t="shared" si="1"/>
        <v>3.0125</v>
      </c>
      <c r="F1269">
        <v>2.0</v>
      </c>
      <c r="G1269">
        <v>4.0</v>
      </c>
      <c r="H1269" t="str">
        <f t="shared" si="2"/>
        <v>8</v>
      </c>
      <c r="I1269">
        <v>126.0</v>
      </c>
      <c r="J1269" t="str">
        <f t="shared" si="3"/>
        <v>400.05</v>
      </c>
      <c r="K1269" t="str">
        <f t="shared" si="4"/>
        <v>1276.1595</v>
      </c>
      <c r="L1269" t="str">
        <f t="shared" si="5"/>
        <v>15.95199375</v>
      </c>
      <c r="M1269" t="str">
        <f t="shared" si="6"/>
        <v>319</v>
      </c>
      <c r="N1269" t="s">
        <v>182</v>
      </c>
      <c r="O1269" t="s">
        <v>2273</v>
      </c>
      <c r="P1269" s="126" t="s">
        <v>2274</v>
      </c>
    </row>
    <row r="1270" ht="15.75" customHeight="1">
      <c r="A1270">
        <v>1275.0</v>
      </c>
      <c r="B1270">
        <v>208.0</v>
      </c>
      <c r="C1270">
        <v>83.0</v>
      </c>
      <c r="D1270">
        <v>5.0</v>
      </c>
      <c r="E1270" t="str">
        <f t="shared" si="1"/>
        <v>2.725</v>
      </c>
      <c r="F1270">
        <v>1.0</v>
      </c>
      <c r="G1270">
        <v>4.0</v>
      </c>
      <c r="H1270" t="str">
        <f t="shared" si="2"/>
        <v>4</v>
      </c>
      <c r="I1270">
        <v>108.0</v>
      </c>
      <c r="J1270" t="str">
        <f t="shared" si="3"/>
        <v>342.9</v>
      </c>
      <c r="K1270" t="str">
        <f t="shared" si="4"/>
        <v>788.67</v>
      </c>
      <c r="L1270" t="str">
        <f t="shared" si="5"/>
        <v>19.71675</v>
      </c>
      <c r="M1270" t="str">
        <f t="shared" si="6"/>
        <v>230</v>
      </c>
      <c r="N1270" t="s">
        <v>187</v>
      </c>
      <c r="O1270" t="s">
        <v>2275</v>
      </c>
      <c r="P1270" s="126" t="s">
        <v>2276</v>
      </c>
    </row>
    <row r="1271" ht="15.75" customHeight="1">
      <c r="A1271">
        <v>1276.0</v>
      </c>
      <c r="B1271">
        <v>232.0</v>
      </c>
      <c r="C1271">
        <v>67.0</v>
      </c>
      <c r="D1271">
        <v>5.0</v>
      </c>
      <c r="E1271" t="str">
        <f t="shared" si="1"/>
        <v>2.85</v>
      </c>
      <c r="F1271">
        <v>1.0</v>
      </c>
      <c r="G1271">
        <v>4.0</v>
      </c>
      <c r="H1271" t="str">
        <f t="shared" si="2"/>
        <v>4</v>
      </c>
      <c r="I1271">
        <v>88.0</v>
      </c>
      <c r="J1271" t="str">
        <f t="shared" si="3"/>
        <v>279.4</v>
      </c>
      <c r="K1271" t="str">
        <f t="shared" si="4"/>
        <v>709.676</v>
      </c>
      <c r="L1271" t="str">
        <f t="shared" si="5"/>
        <v>17.7419</v>
      </c>
      <c r="M1271" t="str">
        <f t="shared" si="6"/>
        <v>254</v>
      </c>
      <c r="N1271" t="s">
        <v>182</v>
      </c>
      <c r="O1271" t="s">
        <v>2277</v>
      </c>
      <c r="P1271" s="126" t="s">
        <v>2278</v>
      </c>
    </row>
    <row r="1272" ht="15.75" customHeight="1">
      <c r="A1272">
        <v>1277.0</v>
      </c>
      <c r="B1272">
        <v>145.0</v>
      </c>
      <c r="C1272">
        <v>100.0</v>
      </c>
      <c r="D1272">
        <v>5.0</v>
      </c>
      <c r="E1272" t="str">
        <f t="shared" si="1"/>
        <v>3.716666667</v>
      </c>
      <c r="F1272">
        <v>2.0</v>
      </c>
      <c r="G1272">
        <v>3.0</v>
      </c>
      <c r="H1272" t="str">
        <f t="shared" si="2"/>
        <v>6</v>
      </c>
      <c r="I1272">
        <v>98.0</v>
      </c>
      <c r="J1272" t="str">
        <f t="shared" si="3"/>
        <v>311.15</v>
      </c>
      <c r="K1272" t="str">
        <f t="shared" si="4"/>
        <v>986.3455</v>
      </c>
      <c r="L1272" t="str">
        <f t="shared" si="5"/>
        <v>16.43909167</v>
      </c>
      <c r="M1272" t="str">
        <f t="shared" si="6"/>
        <v>317</v>
      </c>
      <c r="N1272" t="s">
        <v>182</v>
      </c>
      <c r="O1272" t="s">
        <v>2279</v>
      </c>
      <c r="P1272" s="126" t="s">
        <v>2280</v>
      </c>
    </row>
    <row r="1273" ht="15.75" customHeight="1">
      <c r="A1273">
        <v>1278.0</v>
      </c>
      <c r="B1273">
        <v>100.0</v>
      </c>
      <c r="C1273">
        <v>39.0</v>
      </c>
      <c r="D1273">
        <v>3.0</v>
      </c>
      <c r="E1273" t="str">
        <f t="shared" si="1"/>
        <v>3.333333333</v>
      </c>
      <c r="F1273">
        <v>2.0</v>
      </c>
      <c r="G1273">
        <v>9.0</v>
      </c>
      <c r="H1273" t="str">
        <f t="shared" si="2"/>
        <v>18</v>
      </c>
      <c r="I1273">
        <v>120.0</v>
      </c>
      <c r="J1273" t="str">
        <f t="shared" si="3"/>
        <v>381</v>
      </c>
      <c r="K1273" t="str">
        <f t="shared" si="4"/>
        <v>849.63</v>
      </c>
      <c r="L1273" t="str">
        <f t="shared" si="5"/>
        <v>4.720166667</v>
      </c>
      <c r="M1273" t="str">
        <f t="shared" si="6"/>
        <v>223</v>
      </c>
      <c r="N1273" t="s">
        <v>187</v>
      </c>
      <c r="O1273" t="s">
        <v>2281</v>
      </c>
      <c r="P1273" t="s">
        <v>2282</v>
      </c>
    </row>
    <row r="1274" ht="15.75" customHeight="1">
      <c r="A1274">
        <v>1279.0</v>
      </c>
      <c r="B1274">
        <v>65.0</v>
      </c>
      <c r="C1274">
        <v>75.0</v>
      </c>
      <c r="D1274">
        <v>3.0</v>
      </c>
      <c r="E1274" t="str">
        <f t="shared" si="1"/>
        <v>2.7875</v>
      </c>
      <c r="F1274">
        <v>4.0</v>
      </c>
      <c r="G1274">
        <v>4.0</v>
      </c>
      <c r="H1274" t="str">
        <f t="shared" si="2"/>
        <v>16</v>
      </c>
      <c r="I1274">
        <v>98.0</v>
      </c>
      <c r="J1274" t="str">
        <f t="shared" si="3"/>
        <v>311.15</v>
      </c>
      <c r="K1274" t="str">
        <f t="shared" si="4"/>
        <v>899.2235</v>
      </c>
      <c r="L1274" t="str">
        <f t="shared" si="5"/>
        <v>5.620146875</v>
      </c>
      <c r="M1274" t="str">
        <f t="shared" si="6"/>
        <v>289</v>
      </c>
      <c r="N1274" t="s">
        <v>182</v>
      </c>
      <c r="O1274" t="s">
        <v>2283</v>
      </c>
    </row>
    <row r="1275" ht="15.75" customHeight="1">
      <c r="A1275">
        <v>1280.0</v>
      </c>
      <c r="B1275">
        <v>50.0</v>
      </c>
      <c r="C1275">
        <v>225.0</v>
      </c>
      <c r="D1275">
        <v>3.0</v>
      </c>
      <c r="E1275" t="str">
        <f t="shared" si="1"/>
        <v>9.95</v>
      </c>
      <c r="F1275">
        <v>7.0</v>
      </c>
      <c r="G1275">
        <v>2.0</v>
      </c>
      <c r="H1275" t="str">
        <f t="shared" si="2"/>
        <v>14</v>
      </c>
      <c r="I1275">
        <v>148.0</v>
      </c>
      <c r="J1275" t="str">
        <f t="shared" si="3"/>
        <v>469.9</v>
      </c>
      <c r="K1275" t="str">
        <f t="shared" si="4"/>
        <v>1823.212</v>
      </c>
      <c r="L1275" t="str">
        <f t="shared" si="5"/>
        <v>13.02294286</v>
      </c>
      <c r="M1275" t="str">
        <f t="shared" si="6"/>
        <v>388</v>
      </c>
      <c r="N1275" t="s">
        <v>182</v>
      </c>
      <c r="O1275" t="s">
        <v>2284</v>
      </c>
    </row>
    <row r="1276" ht="15.75" customHeight="1">
      <c r="A1276">
        <v>1283.0</v>
      </c>
      <c r="B1276">
        <v>105.0</v>
      </c>
      <c r="C1276">
        <v>52.5</v>
      </c>
      <c r="D1276">
        <v>3.0</v>
      </c>
      <c r="E1276" t="str">
        <f t="shared" si="1"/>
        <v>4.65</v>
      </c>
      <c r="F1276">
        <v>3.0</v>
      </c>
      <c r="G1276">
        <v>5.0</v>
      </c>
      <c r="H1276" t="str">
        <f t="shared" si="2"/>
        <v>15</v>
      </c>
      <c r="I1276">
        <v>90.0</v>
      </c>
      <c r="J1276" t="str">
        <f t="shared" si="3"/>
        <v>285.75</v>
      </c>
      <c r="K1276" t="str">
        <f t="shared" si="4"/>
        <v>974.4075</v>
      </c>
      <c r="L1276" t="str">
        <f t="shared" si="5"/>
        <v>6.49605</v>
      </c>
      <c r="M1276" t="str">
        <f t="shared" si="6"/>
        <v>341</v>
      </c>
      <c r="N1276" t="s">
        <v>187</v>
      </c>
      <c r="O1276" t="s">
        <v>2285</v>
      </c>
      <c r="P1276" t="s">
        <v>2286</v>
      </c>
    </row>
    <row r="1277" ht="15.75" customHeight="1">
      <c r="A1277">
        <v>1284.0</v>
      </c>
      <c r="B1277">
        <v>25.0</v>
      </c>
      <c r="C1277">
        <v>58.0</v>
      </c>
      <c r="D1277">
        <v>3.0</v>
      </c>
      <c r="E1277" t="str">
        <f t="shared" si="1"/>
        <v>2.96</v>
      </c>
      <c r="F1277">
        <v>14.0</v>
      </c>
      <c r="G1277">
        <v>5.0</v>
      </c>
      <c r="H1277" t="str">
        <f t="shared" si="2"/>
        <v>70</v>
      </c>
      <c r="I1277">
        <v>96.0</v>
      </c>
      <c r="J1277" t="str">
        <f t="shared" si="3"/>
        <v>304.8</v>
      </c>
      <c r="K1277" t="str">
        <f t="shared" si="4"/>
        <v>1246.632</v>
      </c>
      <c r="L1277" t="str">
        <f t="shared" si="5"/>
        <v>1.780902857</v>
      </c>
      <c r="M1277" t="str">
        <f t="shared" si="6"/>
        <v>409</v>
      </c>
      <c r="N1277" t="s">
        <v>182</v>
      </c>
      <c r="O1277" t="s">
        <v>2287</v>
      </c>
    </row>
    <row r="1278" ht="15.75" customHeight="1">
      <c r="A1278">
        <v>1285.0</v>
      </c>
      <c r="B1278">
        <v>105.0</v>
      </c>
      <c r="C1278">
        <v>65.0</v>
      </c>
      <c r="D1278">
        <v>3.0</v>
      </c>
      <c r="E1278" t="str">
        <f t="shared" si="1"/>
        <v>3.58</v>
      </c>
      <c r="F1278">
        <v>2.0</v>
      </c>
      <c r="G1278">
        <v>5.0</v>
      </c>
      <c r="H1278" t="str">
        <f t="shared" si="2"/>
        <v>10</v>
      </c>
      <c r="I1278">
        <v>108.0</v>
      </c>
      <c r="J1278" t="str">
        <f t="shared" si="3"/>
        <v>342.9</v>
      </c>
      <c r="K1278" t="str">
        <f t="shared" si="4"/>
        <v>798.957</v>
      </c>
      <c r="L1278" t="str">
        <f t="shared" si="5"/>
        <v>7.98957</v>
      </c>
      <c r="M1278" t="str">
        <f t="shared" si="6"/>
        <v>233</v>
      </c>
      <c r="N1278" t="s">
        <v>187</v>
      </c>
      <c r="O1278" t="s">
        <v>2288</v>
      </c>
      <c r="P1278" t="s">
        <v>2289</v>
      </c>
    </row>
    <row r="1279" ht="15.75" customHeight="1">
      <c r="A1279">
        <v>1286.0</v>
      </c>
      <c r="B1279">
        <v>285.0</v>
      </c>
      <c r="C1279">
        <v>115.0</v>
      </c>
      <c r="D1279">
        <v>5.0</v>
      </c>
      <c r="E1279" t="str">
        <f t="shared" si="1"/>
        <v>6.44375</v>
      </c>
      <c r="F1279">
        <v>2.0</v>
      </c>
      <c r="G1279">
        <v>4.0</v>
      </c>
      <c r="H1279" t="str">
        <f t="shared" si="2"/>
        <v>8</v>
      </c>
      <c r="I1279">
        <v>153.0</v>
      </c>
      <c r="J1279" t="str">
        <f t="shared" si="3"/>
        <v>485.775</v>
      </c>
      <c r="K1279" t="str">
        <f t="shared" si="4"/>
        <v>2900.07675</v>
      </c>
      <c r="L1279" t="str">
        <f t="shared" si="5"/>
        <v>36.25095938</v>
      </c>
      <c r="M1279" t="str">
        <f t="shared" si="6"/>
        <v>597</v>
      </c>
      <c r="N1279" t="s">
        <v>187</v>
      </c>
      <c r="O1279" t="s">
        <v>2290</v>
      </c>
      <c r="P1279" t="s">
        <v>2291</v>
      </c>
    </row>
    <row r="1280" ht="15.75" customHeight="1">
      <c r="A1280">
        <v>1287.0</v>
      </c>
      <c r="B1280">
        <v>157.5</v>
      </c>
      <c r="C1280">
        <v>89.0</v>
      </c>
      <c r="D1280">
        <v>4.0</v>
      </c>
      <c r="E1280" t="str">
        <f t="shared" si="1"/>
        <v>4.133333333</v>
      </c>
      <c r="F1280">
        <v>2.0</v>
      </c>
      <c r="G1280">
        <v>3.0</v>
      </c>
      <c r="H1280" t="str">
        <f t="shared" si="2"/>
        <v>6</v>
      </c>
      <c r="I1280">
        <v>88.0</v>
      </c>
      <c r="J1280" t="str">
        <f t="shared" si="3"/>
        <v>279.4</v>
      </c>
      <c r="K1280" t="str">
        <f t="shared" si="4"/>
        <v>949.96</v>
      </c>
      <c r="L1280" t="str">
        <f t="shared" si="5"/>
        <v>15.83266667</v>
      </c>
      <c r="M1280" t="str">
        <f t="shared" si="6"/>
        <v>340</v>
      </c>
      <c r="N1280" t="s">
        <v>187</v>
      </c>
      <c r="O1280" t="s">
        <v>2292</v>
      </c>
      <c r="P1280" t="s">
        <v>2293</v>
      </c>
    </row>
    <row r="1281" ht="15.75" customHeight="1">
      <c r="A1281">
        <v>1288.0</v>
      </c>
      <c r="B1281">
        <v>75.0</v>
      </c>
      <c r="C1281">
        <v>37.5</v>
      </c>
      <c r="D1281">
        <v>3.0</v>
      </c>
      <c r="E1281" t="str">
        <f t="shared" si="1"/>
        <v>3.321428571</v>
      </c>
      <c r="F1281">
        <v>4.0</v>
      </c>
      <c r="G1281">
        <v>7.0</v>
      </c>
      <c r="H1281" t="str">
        <f t="shared" si="2"/>
        <v>28</v>
      </c>
      <c r="I1281">
        <v>90.0</v>
      </c>
      <c r="J1281" t="str">
        <f t="shared" si="3"/>
        <v>285.75</v>
      </c>
      <c r="K1281" t="str">
        <f t="shared" si="4"/>
        <v>940.1175</v>
      </c>
      <c r="L1281" t="str">
        <f t="shared" si="5"/>
        <v>3.3575625</v>
      </c>
      <c r="M1281" t="str">
        <f t="shared" si="6"/>
        <v>329</v>
      </c>
      <c r="N1281" t="s">
        <v>187</v>
      </c>
      <c r="O1281" t="s">
        <v>2294</v>
      </c>
      <c r="P1281" t="s">
        <v>2295</v>
      </c>
    </row>
    <row r="1282" ht="15.75" customHeight="1">
      <c r="A1282">
        <v>1289.0</v>
      </c>
      <c r="B1282">
        <v>101.0</v>
      </c>
      <c r="C1282">
        <v>68.0</v>
      </c>
      <c r="D1282">
        <v>3.0</v>
      </c>
      <c r="E1282" t="str">
        <f t="shared" si="1"/>
        <v>3.4375</v>
      </c>
      <c r="F1282">
        <v>2.0</v>
      </c>
      <c r="G1282">
        <v>4.0</v>
      </c>
      <c r="H1282" t="str">
        <f t="shared" si="2"/>
        <v>8</v>
      </c>
      <c r="I1282">
        <v>90.0</v>
      </c>
      <c r="J1282" t="str">
        <f t="shared" si="3"/>
        <v>285.75</v>
      </c>
      <c r="K1282" t="str">
        <f t="shared" si="4"/>
        <v>642.9375</v>
      </c>
      <c r="L1282" t="str">
        <f t="shared" si="5"/>
        <v>8.03671875</v>
      </c>
      <c r="M1282" t="str">
        <f t="shared" si="6"/>
        <v>225</v>
      </c>
      <c r="N1282" t="s">
        <v>182</v>
      </c>
      <c r="O1282" t="s">
        <v>2296</v>
      </c>
      <c r="P1282" s="126" t="s">
        <v>2297</v>
      </c>
    </row>
    <row r="1283" ht="15.75" customHeight="1">
      <c r="A1283">
        <v>1290.0</v>
      </c>
      <c r="B1283">
        <v>67.5</v>
      </c>
      <c r="C1283">
        <v>85.0</v>
      </c>
      <c r="D1283">
        <v>5.0</v>
      </c>
      <c r="E1283" t="str">
        <f t="shared" si="1"/>
        <v>3.9</v>
      </c>
      <c r="F1283">
        <v>4.0</v>
      </c>
      <c r="G1283">
        <v>3.0</v>
      </c>
      <c r="H1283" t="str">
        <f t="shared" si="2"/>
        <v>12</v>
      </c>
      <c r="I1283">
        <v>84.0</v>
      </c>
      <c r="J1283" t="str">
        <f t="shared" si="3"/>
        <v>266.7</v>
      </c>
      <c r="K1283" t="str">
        <f t="shared" si="4"/>
        <v>818.769</v>
      </c>
      <c r="L1283" t="str">
        <f t="shared" si="5"/>
        <v>6.823075</v>
      </c>
      <c r="M1283" t="str">
        <f t="shared" si="6"/>
        <v>307</v>
      </c>
      <c r="N1283" t="s">
        <v>182</v>
      </c>
      <c r="O1283" t="s">
        <v>2298</v>
      </c>
      <c r="P1283" s="126" t="s">
        <v>2299</v>
      </c>
    </row>
    <row r="1284" ht="15.75" customHeight="1">
      <c r="A1284">
        <v>1291.0</v>
      </c>
      <c r="B1284">
        <v>93.0</v>
      </c>
      <c r="C1284">
        <v>58.0</v>
      </c>
      <c r="D1284">
        <v>3.0</v>
      </c>
      <c r="E1284" t="str">
        <f t="shared" si="1"/>
        <v>2.96</v>
      </c>
      <c r="F1284">
        <v>4.0</v>
      </c>
      <c r="G1284">
        <v>5.0</v>
      </c>
      <c r="H1284" t="str">
        <f t="shared" si="2"/>
        <v>20</v>
      </c>
      <c r="I1284">
        <v>96.0</v>
      </c>
      <c r="J1284" t="str">
        <f t="shared" si="3"/>
        <v>304.8</v>
      </c>
      <c r="K1284" t="str">
        <f t="shared" si="4"/>
        <v>1222.248</v>
      </c>
      <c r="L1284" t="str">
        <f t="shared" si="5"/>
        <v>6.11124</v>
      </c>
      <c r="M1284" t="str">
        <f t="shared" si="6"/>
        <v>401</v>
      </c>
      <c r="N1284" t="s">
        <v>182</v>
      </c>
      <c r="O1284" t="s">
        <v>2300</v>
      </c>
      <c r="P1284" s="126" t="s">
        <v>2301</v>
      </c>
    </row>
    <row r="1285" ht="15.75" customHeight="1">
      <c r="A1285">
        <v>1292.0</v>
      </c>
      <c r="B1285">
        <v>140.0</v>
      </c>
      <c r="C1285">
        <v>130.0</v>
      </c>
      <c r="D1285">
        <v>4.0</v>
      </c>
      <c r="E1285" t="str">
        <f t="shared" si="1"/>
        <v>3.35</v>
      </c>
      <c r="F1285">
        <v>2.0</v>
      </c>
      <c r="G1285">
        <v>2.0</v>
      </c>
      <c r="H1285" t="str">
        <f t="shared" si="2"/>
        <v>4</v>
      </c>
      <c r="I1285">
        <v>84.0</v>
      </c>
      <c r="J1285" t="str">
        <f t="shared" si="3"/>
        <v>266.7</v>
      </c>
      <c r="K1285" t="str">
        <f t="shared" si="4"/>
        <v>813.435</v>
      </c>
      <c r="L1285" t="str">
        <f t="shared" si="5"/>
        <v>20.335875</v>
      </c>
      <c r="M1285" t="str">
        <f t="shared" si="6"/>
        <v>305</v>
      </c>
      <c r="N1285" t="s">
        <v>187</v>
      </c>
      <c r="O1285" t="s">
        <v>2302</v>
      </c>
      <c r="P1285" s="126" t="s">
        <v>2303</v>
      </c>
    </row>
    <row r="1286" ht="15.75" customHeight="1">
      <c r="A1286">
        <v>1293.0</v>
      </c>
      <c r="B1286">
        <v>124.0</v>
      </c>
      <c r="C1286">
        <v>126.0</v>
      </c>
      <c r="D1286">
        <v>3.0</v>
      </c>
      <c r="E1286" t="str">
        <f t="shared" si="1"/>
        <v>4.96875</v>
      </c>
      <c r="F1286">
        <v>2.0</v>
      </c>
      <c r="G1286">
        <v>4.0</v>
      </c>
      <c r="H1286" t="str">
        <f t="shared" si="2"/>
        <v>8</v>
      </c>
      <c r="I1286">
        <v>165.0</v>
      </c>
      <c r="J1286" t="str">
        <f t="shared" si="3"/>
        <v>523.875</v>
      </c>
      <c r="K1286" t="str">
        <f t="shared" si="4"/>
        <v>1419.70125</v>
      </c>
      <c r="L1286" t="str">
        <f t="shared" si="5"/>
        <v>17.74626563</v>
      </c>
      <c r="M1286" t="str">
        <f t="shared" si="6"/>
        <v>271</v>
      </c>
      <c r="N1286" t="s">
        <v>182</v>
      </c>
      <c r="O1286" t="s">
        <v>2304</v>
      </c>
    </row>
    <row r="1287" ht="15.75" customHeight="1">
      <c r="A1287">
        <v>1294.0</v>
      </c>
      <c r="B1287">
        <v>177.0</v>
      </c>
      <c r="C1287">
        <v>68.0</v>
      </c>
      <c r="D1287">
        <v>3.0</v>
      </c>
      <c r="E1287" t="str">
        <f t="shared" si="1"/>
        <v>3.4375</v>
      </c>
      <c r="F1287">
        <v>2.0</v>
      </c>
      <c r="G1287">
        <v>6.0</v>
      </c>
      <c r="H1287" t="str">
        <f t="shared" si="2"/>
        <v>12</v>
      </c>
      <c r="I1287">
        <v>135.0</v>
      </c>
      <c r="J1287" t="str">
        <f t="shared" si="3"/>
        <v>428.625</v>
      </c>
      <c r="K1287" t="str">
        <f t="shared" si="4"/>
        <v>1615.91625</v>
      </c>
      <c r="L1287" t="str">
        <f t="shared" si="5"/>
        <v>13.46596875</v>
      </c>
      <c r="M1287" t="str">
        <f t="shared" si="6"/>
        <v>377</v>
      </c>
      <c r="N1287" t="s">
        <v>187</v>
      </c>
      <c r="O1287" t="s">
        <v>2305</v>
      </c>
      <c r="P1287" s="126" t="s">
        <v>2306</v>
      </c>
    </row>
    <row r="1288" ht="15.75" customHeight="1">
      <c r="A1288">
        <v>1295.0</v>
      </c>
      <c r="B1288">
        <v>136.5</v>
      </c>
      <c r="C1288">
        <v>78.7</v>
      </c>
      <c r="D1288">
        <v>4.0</v>
      </c>
      <c r="E1288" t="str">
        <f t="shared" si="1"/>
        <v>4.64375</v>
      </c>
      <c r="F1288">
        <v>2.0</v>
      </c>
      <c r="G1288">
        <v>4.0</v>
      </c>
      <c r="H1288" t="str">
        <f t="shared" si="2"/>
        <v>8</v>
      </c>
      <c r="I1288">
        <v>105.0</v>
      </c>
      <c r="J1288" t="str">
        <f t="shared" si="3"/>
        <v>333.375</v>
      </c>
      <c r="K1288" t="str">
        <f t="shared" si="4"/>
        <v>993.4575</v>
      </c>
      <c r="L1288" t="str">
        <f t="shared" si="5"/>
        <v>12.41821875</v>
      </c>
      <c r="M1288" t="str">
        <f t="shared" si="6"/>
        <v>298</v>
      </c>
      <c r="N1288" t="s">
        <v>187</v>
      </c>
      <c r="O1288" t="s">
        <v>2307</v>
      </c>
      <c r="P1288" t="s">
        <v>2308</v>
      </c>
    </row>
    <row r="1289" ht="15.75" customHeight="1">
      <c r="A1289">
        <v>1296.0</v>
      </c>
      <c r="B1289">
        <v>75.0</v>
      </c>
      <c r="C1289">
        <v>70.0</v>
      </c>
      <c r="D1289">
        <v>3.0</v>
      </c>
      <c r="E1289" t="str">
        <f t="shared" si="1"/>
        <v>6.2</v>
      </c>
      <c r="F1289">
        <v>4.0</v>
      </c>
      <c r="G1289">
        <v>5.0</v>
      </c>
      <c r="H1289" t="str">
        <f t="shared" si="2"/>
        <v>20</v>
      </c>
      <c r="I1289">
        <v>120.0</v>
      </c>
      <c r="J1289" t="str">
        <f t="shared" si="3"/>
        <v>381</v>
      </c>
      <c r="K1289" t="str">
        <f t="shared" si="4"/>
        <v>1253.49</v>
      </c>
      <c r="L1289" t="str">
        <f t="shared" si="5"/>
        <v>6.26745</v>
      </c>
      <c r="M1289" t="str">
        <f t="shared" si="6"/>
        <v>329</v>
      </c>
      <c r="N1289" t="s">
        <v>182</v>
      </c>
      <c r="O1289" t="s">
        <v>2309</v>
      </c>
    </row>
    <row r="1290" ht="15.75" customHeight="1">
      <c r="A1290">
        <v>1297.0</v>
      </c>
      <c r="B1290">
        <v>130.0</v>
      </c>
      <c r="C1290">
        <v>75.0</v>
      </c>
      <c r="D1290">
        <v>3.0</v>
      </c>
      <c r="E1290" t="str">
        <f t="shared" si="1"/>
        <v>5.01</v>
      </c>
      <c r="F1290">
        <v>2.0</v>
      </c>
      <c r="G1290">
        <v>5.0</v>
      </c>
      <c r="H1290" t="str">
        <f t="shared" si="2"/>
        <v>10</v>
      </c>
      <c r="I1290">
        <v>126.0</v>
      </c>
      <c r="J1290" t="str">
        <f t="shared" si="3"/>
        <v>400.05</v>
      </c>
      <c r="K1290" t="str">
        <f t="shared" si="4"/>
        <v>1132.1415</v>
      </c>
      <c r="L1290" t="str">
        <f t="shared" si="5"/>
        <v>11.321415</v>
      </c>
      <c r="M1290" t="str">
        <f t="shared" si="6"/>
        <v>283</v>
      </c>
      <c r="N1290" t="s">
        <v>187</v>
      </c>
      <c r="O1290" t="s">
        <v>2310</v>
      </c>
      <c r="P1290" t="s">
        <v>2311</v>
      </c>
    </row>
    <row r="1291" ht="15.75" customHeight="1">
      <c r="A1291">
        <v>1298.0</v>
      </c>
      <c r="B1291">
        <v>200.0</v>
      </c>
      <c r="C1291">
        <v>118.0</v>
      </c>
      <c r="D1291">
        <v>3.0</v>
      </c>
      <c r="E1291" t="str">
        <f t="shared" si="1"/>
        <v>3.44375</v>
      </c>
      <c r="F1291">
        <v>2.0</v>
      </c>
      <c r="G1291">
        <v>4.0</v>
      </c>
      <c r="H1291" t="str">
        <f t="shared" si="2"/>
        <v>8</v>
      </c>
      <c r="I1291">
        <v>153.0</v>
      </c>
      <c r="J1291" t="str">
        <f t="shared" si="3"/>
        <v>485.775</v>
      </c>
      <c r="K1291" t="str">
        <f t="shared" si="4"/>
        <v>2054.82825</v>
      </c>
      <c r="L1291" t="str">
        <f t="shared" si="5"/>
        <v>25.68535313</v>
      </c>
      <c r="M1291" t="str">
        <f t="shared" si="6"/>
        <v>423</v>
      </c>
      <c r="N1291" t="s">
        <v>187</v>
      </c>
      <c r="O1291" t="s">
        <v>2312</v>
      </c>
      <c r="P1291" t="s">
        <v>2313</v>
      </c>
    </row>
    <row r="1292" ht="15.75" customHeight="1">
      <c r="A1292">
        <v>1299.0</v>
      </c>
      <c r="B1292">
        <v>99.0</v>
      </c>
      <c r="C1292">
        <v>70.0</v>
      </c>
      <c r="D1292">
        <v>3.0</v>
      </c>
      <c r="E1292" t="str">
        <f t="shared" si="1"/>
        <v>4.839285714</v>
      </c>
      <c r="F1292">
        <v>2.0</v>
      </c>
      <c r="G1292">
        <v>7.0</v>
      </c>
      <c r="H1292" t="str">
        <f t="shared" si="2"/>
        <v>14</v>
      </c>
      <c r="I1292">
        <v>165.0</v>
      </c>
      <c r="J1292" t="str">
        <f t="shared" si="3"/>
        <v>523.875</v>
      </c>
      <c r="K1292" t="str">
        <f t="shared" si="4"/>
        <v>1157.76375</v>
      </c>
      <c r="L1292" t="str">
        <f t="shared" si="5"/>
        <v>8.269741071</v>
      </c>
      <c r="M1292" t="str">
        <f t="shared" si="6"/>
        <v>221</v>
      </c>
      <c r="N1292" t="s">
        <v>187</v>
      </c>
      <c r="O1292" t="s">
        <v>2314</v>
      </c>
      <c r="P1292" s="126" t="s">
        <v>2315</v>
      </c>
    </row>
    <row r="1293" ht="15.75" customHeight="1">
      <c r="A1293">
        <v>1300.0</v>
      </c>
      <c r="B1293">
        <v>74.0</v>
      </c>
      <c r="C1293">
        <v>208.0</v>
      </c>
      <c r="D1293">
        <v>3.0</v>
      </c>
      <c r="E1293" t="str">
        <f t="shared" si="1"/>
        <v>6.3125</v>
      </c>
      <c r="F1293">
        <v>4.0</v>
      </c>
      <c r="G1293">
        <v>2.0</v>
      </c>
      <c r="H1293" t="str">
        <f t="shared" si="2"/>
        <v>8</v>
      </c>
      <c r="I1293">
        <v>135.0</v>
      </c>
      <c r="J1293" t="str">
        <f t="shared" si="3"/>
        <v>428.625</v>
      </c>
      <c r="K1293" t="str">
        <f t="shared" si="4"/>
        <v>1393.03125</v>
      </c>
      <c r="L1293" t="str">
        <f t="shared" si="5"/>
        <v>17.41289063</v>
      </c>
      <c r="M1293" t="str">
        <f t="shared" si="6"/>
        <v>325</v>
      </c>
      <c r="N1293" t="s">
        <v>182</v>
      </c>
      <c r="O1293" t="s">
        <v>2316</v>
      </c>
    </row>
    <row r="1294" ht="15.75" customHeight="1">
      <c r="A1294">
        <v>1301.0</v>
      </c>
      <c r="B1294">
        <v>54.0</v>
      </c>
      <c r="C1294">
        <v>150.0</v>
      </c>
      <c r="D1294">
        <v>3.0</v>
      </c>
      <c r="E1294" t="str">
        <f t="shared" si="1"/>
        <v>2.4</v>
      </c>
      <c r="F1294">
        <v>6.0</v>
      </c>
      <c r="G1294">
        <v>2.0</v>
      </c>
      <c r="H1294" t="str">
        <f t="shared" si="2"/>
        <v>12</v>
      </c>
      <c r="I1294">
        <v>96.0</v>
      </c>
      <c r="J1294" t="str">
        <f t="shared" si="3"/>
        <v>304.8</v>
      </c>
      <c r="K1294" t="str">
        <f t="shared" si="4"/>
        <v>1094.232</v>
      </c>
      <c r="L1294" t="str">
        <f t="shared" si="5"/>
        <v>9.1186</v>
      </c>
      <c r="M1294" t="str">
        <f t="shared" si="6"/>
        <v>359</v>
      </c>
      <c r="N1294" t="s">
        <v>182</v>
      </c>
      <c r="O1294" t="s">
        <v>2317</v>
      </c>
    </row>
    <row r="1295" ht="15.75" customHeight="1">
      <c r="A1295">
        <v>1302.0</v>
      </c>
      <c r="B1295">
        <v>184.0</v>
      </c>
      <c r="C1295">
        <v>108.0</v>
      </c>
      <c r="D1295">
        <v>3.0</v>
      </c>
      <c r="E1295" t="str">
        <f t="shared" si="1"/>
        <v>3.125</v>
      </c>
      <c r="F1295">
        <v>2.0</v>
      </c>
      <c r="G1295">
        <v>3.0</v>
      </c>
      <c r="H1295" t="str">
        <f t="shared" si="2"/>
        <v>6</v>
      </c>
      <c r="I1295">
        <v>105.0</v>
      </c>
      <c r="J1295" t="str">
        <f t="shared" si="3"/>
        <v>333.375</v>
      </c>
      <c r="K1295" t="str">
        <f t="shared" si="4"/>
        <v>1303.49625</v>
      </c>
      <c r="L1295" t="str">
        <f t="shared" si="5"/>
        <v>21.7249375</v>
      </c>
      <c r="M1295" t="str">
        <f t="shared" si="6"/>
        <v>391</v>
      </c>
      <c r="N1295" t="s">
        <v>187</v>
      </c>
      <c r="O1295" t="s">
        <v>2318</v>
      </c>
      <c r="P1295" t="s">
        <v>2319</v>
      </c>
    </row>
    <row r="1296" ht="15.75" customHeight="1">
      <c r="A1296">
        <v>1303.0</v>
      </c>
      <c r="B1296">
        <v>38.0</v>
      </c>
      <c r="C1296">
        <v>48.0</v>
      </c>
      <c r="D1296">
        <v>3.0</v>
      </c>
      <c r="E1296" t="str">
        <f t="shared" si="1"/>
        <v>2.8</v>
      </c>
      <c r="F1296">
        <v>8.0</v>
      </c>
      <c r="G1296">
        <v>6.0</v>
      </c>
      <c r="H1296" t="str">
        <f t="shared" si="2"/>
        <v>48</v>
      </c>
      <c r="I1296">
        <v>96.0</v>
      </c>
      <c r="J1296" t="str">
        <f t="shared" si="3"/>
        <v>304.8</v>
      </c>
      <c r="K1296" t="str">
        <f t="shared" si="4"/>
        <v>1051.56</v>
      </c>
      <c r="L1296" t="str">
        <f t="shared" si="5"/>
        <v>2.19075</v>
      </c>
      <c r="M1296" t="str">
        <f t="shared" si="6"/>
        <v>345</v>
      </c>
      <c r="N1296" t="s">
        <v>187</v>
      </c>
      <c r="O1296" t="s">
        <v>2320</v>
      </c>
    </row>
    <row r="1297" ht="15.75" customHeight="1">
      <c r="A1297">
        <v>1304.0</v>
      </c>
      <c r="B1297">
        <v>14.0</v>
      </c>
      <c r="C1297">
        <v>125.0</v>
      </c>
      <c r="D1297">
        <v>3.0</v>
      </c>
      <c r="E1297" t="str">
        <f t="shared" si="1"/>
        <v>8.35</v>
      </c>
      <c r="F1297">
        <v>19.0</v>
      </c>
      <c r="G1297">
        <v>2.0</v>
      </c>
      <c r="H1297" t="str">
        <f t="shared" si="2"/>
        <v>38</v>
      </c>
      <c r="I1297">
        <v>84.0</v>
      </c>
      <c r="J1297" t="str">
        <f t="shared" si="3"/>
        <v>266.7</v>
      </c>
      <c r="K1297" t="str">
        <f t="shared" si="4"/>
        <v>906.78</v>
      </c>
      <c r="L1297" t="str">
        <f t="shared" si="5"/>
        <v>2.386263158</v>
      </c>
      <c r="M1297" t="str">
        <f t="shared" si="6"/>
        <v>340</v>
      </c>
      <c r="N1297" t="s">
        <v>187</v>
      </c>
      <c r="O1297" t="s">
        <v>2321</v>
      </c>
    </row>
    <row r="1298" ht="15.75" customHeight="1">
      <c r="A1298">
        <v>1305.0</v>
      </c>
      <c r="B1298">
        <v>34.0</v>
      </c>
      <c r="C1298">
        <v>62.0</v>
      </c>
      <c r="D1298">
        <v>3.0</v>
      </c>
      <c r="E1298" t="str">
        <f t="shared" si="1"/>
        <v>2.77</v>
      </c>
      <c r="F1298">
        <v>6.0</v>
      </c>
      <c r="G1298">
        <v>5.0</v>
      </c>
      <c r="H1298" t="str">
        <f t="shared" si="2"/>
        <v>30</v>
      </c>
      <c r="I1298">
        <v>102.0</v>
      </c>
      <c r="J1298" t="str">
        <f t="shared" si="3"/>
        <v>323.85</v>
      </c>
      <c r="K1298" t="str">
        <f t="shared" si="4"/>
        <v>774.0015</v>
      </c>
      <c r="L1298" t="str">
        <f t="shared" si="5"/>
        <v>2.580005</v>
      </c>
      <c r="M1298" t="str">
        <f t="shared" si="6"/>
        <v>239</v>
      </c>
      <c r="N1298" t="s">
        <v>187</v>
      </c>
      <c r="O1298" t="s">
        <v>2322</v>
      </c>
    </row>
    <row r="1299" ht="15.75" customHeight="1">
      <c r="A1299">
        <v>1306.0</v>
      </c>
      <c r="B1299">
        <v>40.0</v>
      </c>
      <c r="C1299">
        <v>120.0</v>
      </c>
      <c r="D1299">
        <v>3.0</v>
      </c>
      <c r="E1299" t="str">
        <f t="shared" si="1"/>
        <v>7</v>
      </c>
      <c r="F1299">
        <v>8.0</v>
      </c>
      <c r="G1299">
        <v>3.0</v>
      </c>
      <c r="H1299" t="str">
        <f t="shared" si="2"/>
        <v>24</v>
      </c>
      <c r="I1299">
        <v>120.0</v>
      </c>
      <c r="J1299" t="str">
        <f t="shared" si="3"/>
        <v>381</v>
      </c>
      <c r="K1299" t="str">
        <f t="shared" si="4"/>
        <v>1375.41</v>
      </c>
      <c r="L1299" t="str">
        <f t="shared" si="5"/>
        <v>5.730875</v>
      </c>
      <c r="M1299" t="str">
        <f t="shared" si="6"/>
        <v>361</v>
      </c>
      <c r="N1299" t="s">
        <v>187</v>
      </c>
      <c r="O1299" t="s">
        <v>2323</v>
      </c>
      <c r="P1299" s="126" t="s">
        <v>2324</v>
      </c>
    </row>
    <row r="1300" ht="15.75" customHeight="1">
      <c r="A1300">
        <v>1307.0</v>
      </c>
      <c r="B1300">
        <v>22.0</v>
      </c>
      <c r="C1300">
        <v>35.0</v>
      </c>
      <c r="D1300">
        <v>3.0</v>
      </c>
      <c r="E1300" t="str">
        <f t="shared" si="1"/>
        <v>3.1</v>
      </c>
      <c r="F1300">
        <v>6.0</v>
      </c>
      <c r="G1300">
        <v>8.0</v>
      </c>
      <c r="H1300" t="str">
        <f t="shared" si="2"/>
        <v>48</v>
      </c>
      <c r="I1300">
        <v>96.0</v>
      </c>
      <c r="J1300" t="str">
        <f t="shared" si="3"/>
        <v>304.8</v>
      </c>
      <c r="K1300" t="str">
        <f t="shared" si="4"/>
        <v>509.016</v>
      </c>
      <c r="L1300" t="str">
        <f t="shared" si="5"/>
        <v>1.06045</v>
      </c>
      <c r="M1300" t="str">
        <f t="shared" si="6"/>
        <v>167</v>
      </c>
      <c r="N1300" t="s">
        <v>182</v>
      </c>
      <c r="O1300" t="s">
        <v>2325</v>
      </c>
    </row>
    <row r="1301" ht="15.75" customHeight="1">
      <c r="A1301">
        <v>1308.0</v>
      </c>
      <c r="B1301">
        <v>27.0</v>
      </c>
      <c r="C1301">
        <v>42.0</v>
      </c>
      <c r="D1301">
        <v>3.0</v>
      </c>
      <c r="E1301" t="str">
        <f t="shared" si="1"/>
        <v>3.508333333</v>
      </c>
      <c r="F1301">
        <v>10.0</v>
      </c>
      <c r="G1301">
        <v>6.0</v>
      </c>
      <c r="H1301" t="str">
        <f t="shared" si="2"/>
        <v>60</v>
      </c>
      <c r="I1301">
        <v>86.0</v>
      </c>
      <c r="J1301" t="str">
        <f t="shared" si="3"/>
        <v>273.05</v>
      </c>
      <c r="K1301" t="str">
        <f t="shared" si="4"/>
        <v>865.5685</v>
      </c>
      <c r="L1301" t="str">
        <f t="shared" si="5"/>
        <v>1.442614167</v>
      </c>
      <c r="M1301" t="str">
        <f t="shared" si="6"/>
        <v>317</v>
      </c>
      <c r="N1301" t="s">
        <v>187</v>
      </c>
      <c r="O1301" t="s">
        <v>2326</v>
      </c>
      <c r="P1301" t="s">
        <v>2327</v>
      </c>
    </row>
    <row r="1302" ht="15.75" customHeight="1">
      <c r="A1302">
        <v>1309.0</v>
      </c>
      <c r="B1302">
        <v>205.0</v>
      </c>
      <c r="C1302">
        <v>165.0</v>
      </c>
      <c r="D1302">
        <v>3.0</v>
      </c>
      <c r="E1302" t="str">
        <f t="shared" si="1"/>
        <v>6.45</v>
      </c>
      <c r="F1302">
        <v>2.0</v>
      </c>
      <c r="G1302">
        <v>2.0</v>
      </c>
      <c r="H1302" t="str">
        <f t="shared" si="2"/>
        <v>4</v>
      </c>
      <c r="I1302">
        <v>108.0</v>
      </c>
      <c r="J1302" t="str">
        <f t="shared" si="3"/>
        <v>342.9</v>
      </c>
      <c r="K1302" t="str">
        <f t="shared" si="4"/>
        <v>1484.757</v>
      </c>
      <c r="L1302" t="str">
        <f t="shared" si="5"/>
        <v>37.118925</v>
      </c>
      <c r="M1302" t="str">
        <f t="shared" si="6"/>
        <v>433</v>
      </c>
      <c r="N1302" t="s">
        <v>187</v>
      </c>
      <c r="O1302" t="s">
        <v>2328</v>
      </c>
    </row>
    <row r="1303" ht="15.75" customHeight="1">
      <c r="A1303">
        <v>1310.0</v>
      </c>
      <c r="B1303">
        <v>80.0</v>
      </c>
      <c r="C1303">
        <v>38.0</v>
      </c>
      <c r="D1303">
        <v>3.0</v>
      </c>
      <c r="E1303" t="str">
        <f t="shared" si="1"/>
        <v>2.821428571</v>
      </c>
      <c r="F1303">
        <v>3.0</v>
      </c>
      <c r="G1303">
        <v>7.0</v>
      </c>
      <c r="H1303" t="str">
        <f t="shared" si="2"/>
        <v>21</v>
      </c>
      <c r="I1303">
        <v>90.0</v>
      </c>
      <c r="J1303" t="str">
        <f t="shared" si="3"/>
        <v>285.75</v>
      </c>
      <c r="K1303" t="str">
        <f t="shared" si="4"/>
        <v>760.095</v>
      </c>
      <c r="L1303" t="str">
        <f t="shared" si="5"/>
        <v>3.6195</v>
      </c>
      <c r="M1303" t="str">
        <f t="shared" si="6"/>
        <v>266</v>
      </c>
      <c r="N1303" t="s">
        <v>187</v>
      </c>
      <c r="O1303" t="s">
        <v>2329</v>
      </c>
      <c r="P1303" t="s">
        <v>2330</v>
      </c>
    </row>
    <row r="1304" ht="15.75" customHeight="1">
      <c r="A1304">
        <v>1311.0</v>
      </c>
      <c r="B1304">
        <v>65.0</v>
      </c>
      <c r="C1304">
        <v>34.0</v>
      </c>
      <c r="D1304">
        <v>3.0</v>
      </c>
      <c r="E1304" t="str">
        <f t="shared" si="1"/>
        <v>3.041666667</v>
      </c>
      <c r="F1304">
        <v>4.0</v>
      </c>
      <c r="G1304">
        <v>9.0</v>
      </c>
      <c r="H1304" t="str">
        <f t="shared" si="2"/>
        <v>36</v>
      </c>
      <c r="I1304">
        <v>105.0</v>
      </c>
      <c r="J1304" t="str">
        <f t="shared" si="3"/>
        <v>333.375</v>
      </c>
      <c r="K1304" t="str">
        <f t="shared" si="4"/>
        <v>963.45375</v>
      </c>
      <c r="L1304" t="str">
        <f t="shared" si="5"/>
        <v>2.676260417</v>
      </c>
      <c r="M1304" t="str">
        <f t="shared" si="6"/>
        <v>289</v>
      </c>
      <c r="N1304" t="s">
        <v>187</v>
      </c>
      <c r="O1304" t="s">
        <v>2331</v>
      </c>
      <c r="P1304" t="s">
        <v>2332</v>
      </c>
    </row>
    <row r="1305" ht="15.75" customHeight="1">
      <c r="A1305">
        <v>1312.0</v>
      </c>
      <c r="B1305">
        <v>150.0</v>
      </c>
      <c r="C1305">
        <v>190.0</v>
      </c>
      <c r="D1305">
        <v>3.0</v>
      </c>
      <c r="E1305" t="str">
        <f t="shared" si="1"/>
        <v>10.025</v>
      </c>
      <c r="F1305">
        <v>2.0</v>
      </c>
      <c r="G1305">
        <v>2.0</v>
      </c>
      <c r="H1305" t="str">
        <f t="shared" si="2"/>
        <v>4</v>
      </c>
      <c r="I1305">
        <v>126.0</v>
      </c>
      <c r="J1305" t="str">
        <f t="shared" si="3"/>
        <v>400.05</v>
      </c>
      <c r="K1305" t="str">
        <f t="shared" si="4"/>
        <v>1292.1615</v>
      </c>
      <c r="L1305" t="str">
        <f t="shared" si="5"/>
        <v>32.3040375</v>
      </c>
      <c r="M1305" t="str">
        <f t="shared" si="6"/>
        <v>323</v>
      </c>
      <c r="N1305" t="s">
        <v>187</v>
      </c>
      <c r="O1305" t="s">
        <v>2333</v>
      </c>
    </row>
    <row r="1306" ht="15.75" customHeight="1">
      <c r="A1306">
        <v>1313.0</v>
      </c>
      <c r="B1306">
        <v>151.0</v>
      </c>
      <c r="C1306">
        <v>262.0</v>
      </c>
      <c r="D1306">
        <v>3.0</v>
      </c>
      <c r="E1306" t="str">
        <f t="shared" si="1"/>
        <v>4.7</v>
      </c>
      <c r="F1306">
        <v>2.0</v>
      </c>
      <c r="G1306">
        <v>1.0</v>
      </c>
      <c r="H1306" t="str">
        <f t="shared" si="2"/>
        <v>2</v>
      </c>
      <c r="I1306">
        <v>84.0</v>
      </c>
      <c r="J1306" t="str">
        <f t="shared" si="3"/>
        <v>266.7</v>
      </c>
      <c r="K1306" t="str">
        <f t="shared" si="4"/>
        <v>866.775</v>
      </c>
      <c r="L1306" t="str">
        <f t="shared" si="5"/>
        <v>43.33875</v>
      </c>
      <c r="M1306" t="str">
        <f t="shared" si="6"/>
        <v>325</v>
      </c>
      <c r="N1306" t="s">
        <v>187</v>
      </c>
      <c r="O1306" t="s">
        <v>2334</v>
      </c>
    </row>
    <row r="1307" ht="15.75" customHeight="1">
      <c r="A1307">
        <v>1314.0</v>
      </c>
      <c r="B1307">
        <v>110.0</v>
      </c>
      <c r="C1307">
        <v>130.0</v>
      </c>
      <c r="D1307">
        <v>3.0</v>
      </c>
      <c r="E1307" t="str">
        <f t="shared" si="1"/>
        <v>3.35</v>
      </c>
      <c r="F1307">
        <v>3.0</v>
      </c>
      <c r="G1307">
        <v>2.0</v>
      </c>
      <c r="H1307" t="str">
        <f t="shared" si="2"/>
        <v>6</v>
      </c>
      <c r="I1307">
        <v>84.0</v>
      </c>
      <c r="J1307" t="str">
        <f t="shared" si="3"/>
        <v>266.7</v>
      </c>
      <c r="K1307" t="str">
        <f t="shared" si="4"/>
        <v>949.452</v>
      </c>
      <c r="L1307" t="str">
        <f t="shared" si="5"/>
        <v>15.8242</v>
      </c>
      <c r="M1307" t="str">
        <f t="shared" si="6"/>
        <v>356</v>
      </c>
      <c r="N1307" t="s">
        <v>187</v>
      </c>
      <c r="O1307" t="s">
        <v>2335</v>
      </c>
    </row>
    <row r="1308" ht="15.75" customHeight="1">
      <c r="A1308">
        <v>1315.0</v>
      </c>
      <c r="B1308">
        <v>70.0</v>
      </c>
      <c r="C1308">
        <v>130.0</v>
      </c>
      <c r="D1308">
        <v>3.0</v>
      </c>
      <c r="E1308" t="str">
        <f t="shared" si="1"/>
        <v>3.35</v>
      </c>
      <c r="F1308">
        <v>4.0</v>
      </c>
      <c r="G1308">
        <v>2.0</v>
      </c>
      <c r="H1308" t="str">
        <f t="shared" si="2"/>
        <v>8</v>
      </c>
      <c r="I1308">
        <v>84.0</v>
      </c>
      <c r="J1308" t="str">
        <f t="shared" si="3"/>
        <v>266.7</v>
      </c>
      <c r="K1308" t="str">
        <f t="shared" si="4"/>
        <v>824.103</v>
      </c>
      <c r="L1308" t="str">
        <f t="shared" si="5"/>
        <v>10.3012875</v>
      </c>
      <c r="M1308" t="str">
        <f t="shared" si="6"/>
        <v>309</v>
      </c>
      <c r="N1308" t="s">
        <v>187</v>
      </c>
      <c r="O1308" t="s">
        <v>2336</v>
      </c>
    </row>
    <row r="1309" ht="15.75" customHeight="1">
      <c r="A1309">
        <v>1316.0</v>
      </c>
      <c r="B1309">
        <v>60.0</v>
      </c>
      <c r="C1309">
        <v>90.0</v>
      </c>
      <c r="D1309">
        <v>3.0</v>
      </c>
      <c r="E1309" t="str">
        <f t="shared" si="1"/>
        <v>3.133333333</v>
      </c>
      <c r="F1309">
        <v>4.0</v>
      </c>
      <c r="G1309">
        <v>3.0</v>
      </c>
      <c r="H1309" t="str">
        <f t="shared" si="2"/>
        <v>12</v>
      </c>
      <c r="I1309">
        <v>88.0</v>
      </c>
      <c r="J1309" t="str">
        <f t="shared" si="3"/>
        <v>279.4</v>
      </c>
      <c r="K1309" t="str">
        <f t="shared" si="4"/>
        <v>751.586</v>
      </c>
      <c r="L1309" t="str">
        <f t="shared" si="5"/>
        <v>6.263216667</v>
      </c>
      <c r="M1309" t="str">
        <f t="shared" si="6"/>
        <v>269</v>
      </c>
      <c r="N1309" t="s">
        <v>187</v>
      </c>
      <c r="O1309" t="s">
        <v>2337</v>
      </c>
    </row>
    <row r="1310" ht="15.75" customHeight="1">
      <c r="A1310">
        <v>1317.0</v>
      </c>
      <c r="B1310">
        <v>30.0</v>
      </c>
      <c r="C1310">
        <v>185.0</v>
      </c>
      <c r="D1310">
        <v>3.0</v>
      </c>
      <c r="E1310" t="str">
        <f t="shared" si="1"/>
        <v>5.5</v>
      </c>
      <c r="F1310">
        <v>9.0</v>
      </c>
      <c r="G1310">
        <v>2.0</v>
      </c>
      <c r="H1310" t="str">
        <f t="shared" si="2"/>
        <v>18</v>
      </c>
      <c r="I1310">
        <v>120.0</v>
      </c>
      <c r="J1310" t="str">
        <f t="shared" si="3"/>
        <v>381</v>
      </c>
      <c r="K1310" t="str">
        <f t="shared" si="4"/>
        <v>1196.34</v>
      </c>
      <c r="L1310" t="str">
        <f t="shared" si="5"/>
        <v>6.646333333</v>
      </c>
      <c r="M1310" t="str">
        <f t="shared" si="6"/>
        <v>314</v>
      </c>
      <c r="N1310" t="s">
        <v>187</v>
      </c>
      <c r="O1310" t="s">
        <v>2338</v>
      </c>
    </row>
    <row r="1311" ht="15.75" customHeight="1">
      <c r="A1311">
        <v>1318.0</v>
      </c>
      <c r="B1311">
        <v>40.0</v>
      </c>
      <c r="C1311">
        <v>185.0</v>
      </c>
      <c r="D1311">
        <v>3.0</v>
      </c>
      <c r="E1311" t="str">
        <f t="shared" si="1"/>
        <v>5.5</v>
      </c>
      <c r="F1311">
        <v>8.0</v>
      </c>
      <c r="G1311">
        <v>2.0</v>
      </c>
      <c r="H1311" t="str">
        <f t="shared" si="2"/>
        <v>16</v>
      </c>
      <c r="I1311">
        <v>120.0</v>
      </c>
      <c r="J1311" t="str">
        <f t="shared" si="3"/>
        <v>381</v>
      </c>
      <c r="K1311" t="str">
        <f t="shared" si="4"/>
        <v>1375.41</v>
      </c>
      <c r="L1311" t="str">
        <f t="shared" si="5"/>
        <v>8.5963125</v>
      </c>
      <c r="M1311" t="str">
        <f t="shared" si="6"/>
        <v>361</v>
      </c>
      <c r="N1311" t="s">
        <v>187</v>
      </c>
      <c r="O1311" t="s">
        <v>2339</v>
      </c>
    </row>
    <row r="1312" ht="15.75" customHeight="1">
      <c r="A1312">
        <v>1319.0</v>
      </c>
      <c r="B1312">
        <v>50.0</v>
      </c>
      <c r="C1312">
        <v>185.0</v>
      </c>
      <c r="D1312">
        <v>3.0</v>
      </c>
      <c r="E1312" t="str">
        <f t="shared" si="1"/>
        <v>5.5</v>
      </c>
      <c r="F1312">
        <v>6.0</v>
      </c>
      <c r="G1312">
        <v>2.0</v>
      </c>
      <c r="H1312" t="str">
        <f t="shared" si="2"/>
        <v>12</v>
      </c>
      <c r="I1312">
        <v>120.0</v>
      </c>
      <c r="J1312" t="str">
        <f t="shared" si="3"/>
        <v>381</v>
      </c>
      <c r="K1312" t="str">
        <f t="shared" si="4"/>
        <v>1276.35</v>
      </c>
      <c r="L1312" t="str">
        <f t="shared" si="5"/>
        <v>10.63625</v>
      </c>
      <c r="M1312" t="str">
        <f t="shared" si="6"/>
        <v>335</v>
      </c>
      <c r="N1312" t="s">
        <v>187</v>
      </c>
      <c r="O1312" t="s">
        <v>2340</v>
      </c>
    </row>
    <row r="1313" ht="15.75" customHeight="1">
      <c r="A1313">
        <v>1320.0</v>
      </c>
      <c r="B1313">
        <v>120.0</v>
      </c>
      <c r="C1313">
        <v>150.0</v>
      </c>
      <c r="D1313">
        <v>3.0</v>
      </c>
      <c r="E1313" t="str">
        <f t="shared" si="1"/>
        <v>2.4</v>
      </c>
      <c r="F1313">
        <v>3.0</v>
      </c>
      <c r="G1313">
        <v>2.0</v>
      </c>
      <c r="H1313" t="str">
        <f t="shared" si="2"/>
        <v>6</v>
      </c>
      <c r="I1313">
        <v>96.0</v>
      </c>
      <c r="J1313" t="str">
        <f t="shared" si="3"/>
        <v>304.8</v>
      </c>
      <c r="K1313" t="str">
        <f t="shared" si="4"/>
        <v>1176.528</v>
      </c>
      <c r="L1313" t="str">
        <f t="shared" si="5"/>
        <v>19.6088</v>
      </c>
      <c r="M1313" t="str">
        <f t="shared" si="6"/>
        <v>386</v>
      </c>
      <c r="N1313" t="s">
        <v>187</v>
      </c>
      <c r="O1313" t="s">
        <v>2341</v>
      </c>
    </row>
    <row r="1314" ht="15.75" customHeight="1">
      <c r="A1314">
        <v>1321.0</v>
      </c>
      <c r="B1314">
        <v>130.0</v>
      </c>
      <c r="C1314">
        <v>60.0</v>
      </c>
      <c r="D1314">
        <v>3.0</v>
      </c>
      <c r="E1314" t="str">
        <f t="shared" si="1"/>
        <v>3.5</v>
      </c>
      <c r="F1314">
        <v>2.0</v>
      </c>
      <c r="G1314">
        <v>6.0</v>
      </c>
      <c r="H1314" t="str">
        <f t="shared" si="2"/>
        <v>12</v>
      </c>
      <c r="I1314">
        <v>120.0</v>
      </c>
      <c r="J1314" t="str">
        <f t="shared" si="3"/>
        <v>381</v>
      </c>
      <c r="K1314" t="str">
        <f t="shared" si="4"/>
        <v>1078.23</v>
      </c>
      <c r="L1314" t="str">
        <f t="shared" si="5"/>
        <v>8.98525</v>
      </c>
      <c r="M1314" t="str">
        <f t="shared" si="6"/>
        <v>283</v>
      </c>
      <c r="N1314" t="s">
        <v>187</v>
      </c>
      <c r="O1314" t="s">
        <v>2342</v>
      </c>
    </row>
    <row r="1315" ht="15.75" customHeight="1">
      <c r="A1315">
        <v>1322.0</v>
      </c>
      <c r="B1315">
        <v>70.0</v>
      </c>
      <c r="C1315">
        <v>60.0</v>
      </c>
      <c r="D1315">
        <v>3.0</v>
      </c>
      <c r="E1315" t="str">
        <f t="shared" si="1"/>
        <v>3.5</v>
      </c>
      <c r="F1315">
        <v>4.0</v>
      </c>
      <c r="G1315">
        <v>6.0</v>
      </c>
      <c r="H1315" t="str">
        <f t="shared" si="2"/>
        <v>24</v>
      </c>
      <c r="I1315">
        <v>120.0</v>
      </c>
      <c r="J1315" t="str">
        <f t="shared" si="3"/>
        <v>381</v>
      </c>
      <c r="K1315" t="str">
        <f t="shared" si="4"/>
        <v>1177.29</v>
      </c>
      <c r="L1315" t="str">
        <f t="shared" si="5"/>
        <v>4.905375</v>
      </c>
      <c r="M1315" t="str">
        <f t="shared" si="6"/>
        <v>309</v>
      </c>
      <c r="N1315" t="s">
        <v>187</v>
      </c>
      <c r="O1315" t="s">
        <v>2343</v>
      </c>
      <c r="P1315" t="s">
        <v>2344</v>
      </c>
    </row>
    <row r="1316" ht="15.75" customHeight="1">
      <c r="A1316">
        <v>1323.0</v>
      </c>
      <c r="B1316">
        <v>32.0</v>
      </c>
      <c r="C1316">
        <v>49.0</v>
      </c>
      <c r="D1316">
        <v>3.0</v>
      </c>
      <c r="E1316" t="str">
        <f t="shared" si="1"/>
        <v>2.858333333</v>
      </c>
      <c r="F1316">
        <v>10.0</v>
      </c>
      <c r="G1316">
        <v>6.0</v>
      </c>
      <c r="H1316" t="str">
        <f t="shared" si="2"/>
        <v>60</v>
      </c>
      <c r="I1316">
        <v>98.0</v>
      </c>
      <c r="J1316" t="str">
        <f t="shared" si="3"/>
        <v>311.15</v>
      </c>
      <c r="K1316" t="str">
        <f t="shared" si="4"/>
        <v>1141.9205</v>
      </c>
      <c r="L1316" t="str">
        <f t="shared" si="5"/>
        <v>1.903200833</v>
      </c>
      <c r="M1316" t="str">
        <f t="shared" si="6"/>
        <v>367</v>
      </c>
      <c r="N1316" t="s">
        <v>187</v>
      </c>
      <c r="O1316" t="s">
        <v>2345</v>
      </c>
      <c r="P1316" t="s">
        <v>2346</v>
      </c>
    </row>
    <row r="1317" ht="15.75" customHeight="1">
      <c r="A1317">
        <v>1324.0</v>
      </c>
      <c r="B1317">
        <v>39.0</v>
      </c>
      <c r="C1317">
        <v>57.0</v>
      </c>
      <c r="D1317">
        <v>3.0</v>
      </c>
      <c r="E1317" t="str">
        <f t="shared" si="1"/>
        <v>3.96</v>
      </c>
      <c r="F1317">
        <v>6.0</v>
      </c>
      <c r="G1317">
        <v>5.0</v>
      </c>
      <c r="H1317" t="str">
        <f t="shared" si="2"/>
        <v>30</v>
      </c>
      <c r="I1317">
        <v>96.0</v>
      </c>
      <c r="J1317" t="str">
        <f t="shared" si="3"/>
        <v>304.8</v>
      </c>
      <c r="K1317" t="str">
        <f t="shared" si="4"/>
        <v>819.912</v>
      </c>
      <c r="L1317" t="str">
        <f t="shared" si="5"/>
        <v>2.73304</v>
      </c>
      <c r="M1317" t="str">
        <f t="shared" si="6"/>
        <v>269</v>
      </c>
      <c r="N1317" t="s">
        <v>187</v>
      </c>
      <c r="O1317" t="s">
        <v>2347</v>
      </c>
      <c r="P1317" t="s">
        <v>2348</v>
      </c>
    </row>
    <row r="1318" ht="15.75" customHeight="1">
      <c r="A1318">
        <v>1325.0</v>
      </c>
      <c r="B1318">
        <v>215.0</v>
      </c>
      <c r="C1318">
        <v>121.0</v>
      </c>
      <c r="D1318">
        <v>3.0</v>
      </c>
      <c r="E1318" t="str">
        <f t="shared" si="1"/>
        <v>6</v>
      </c>
      <c r="F1318">
        <v>1.0</v>
      </c>
      <c r="G1318">
        <v>3.0</v>
      </c>
      <c r="H1318" t="str">
        <f t="shared" si="2"/>
        <v>3</v>
      </c>
      <c r="I1318">
        <v>120.0</v>
      </c>
      <c r="J1318" t="str">
        <f t="shared" si="3"/>
        <v>381</v>
      </c>
      <c r="K1318" t="str">
        <f t="shared" si="4"/>
        <v>895.35</v>
      </c>
      <c r="L1318" t="str">
        <f t="shared" si="5"/>
        <v>29.845</v>
      </c>
      <c r="M1318" t="str">
        <f t="shared" si="6"/>
        <v>235</v>
      </c>
      <c r="N1318" t="s">
        <v>187</v>
      </c>
      <c r="O1318" t="s">
        <v>2349</v>
      </c>
      <c r="P1318" t="s">
        <v>2350</v>
      </c>
    </row>
    <row r="1319" ht="15.75" customHeight="1">
      <c r="A1319">
        <v>1326.0</v>
      </c>
      <c r="B1319">
        <v>215.0</v>
      </c>
      <c r="C1319">
        <v>121.0</v>
      </c>
      <c r="D1319">
        <v>3.0</v>
      </c>
      <c r="E1319" t="str">
        <f t="shared" si="1"/>
        <v>6</v>
      </c>
      <c r="F1319">
        <v>1.0</v>
      </c>
      <c r="G1319">
        <v>3.0</v>
      </c>
      <c r="H1319" t="str">
        <f t="shared" si="2"/>
        <v>3</v>
      </c>
      <c r="I1319">
        <v>120.0</v>
      </c>
      <c r="J1319" t="str">
        <f t="shared" si="3"/>
        <v>381</v>
      </c>
      <c r="K1319" t="str">
        <f t="shared" si="4"/>
        <v>895.35</v>
      </c>
      <c r="L1319" t="str">
        <f t="shared" si="5"/>
        <v>29.845</v>
      </c>
      <c r="M1319" t="str">
        <f t="shared" si="6"/>
        <v>235</v>
      </c>
      <c r="N1319" t="s">
        <v>187</v>
      </c>
      <c r="O1319" t="s">
        <v>2351</v>
      </c>
      <c r="P1319" t="s">
        <v>2352</v>
      </c>
    </row>
    <row r="1320" ht="15.75" customHeight="1">
      <c r="A1320">
        <v>1327.0</v>
      </c>
      <c r="B1320">
        <v>35.0</v>
      </c>
      <c r="C1320">
        <v>88.0</v>
      </c>
      <c r="D1320">
        <v>3.0</v>
      </c>
      <c r="E1320" t="str">
        <f t="shared" si="1"/>
        <v>3.016666667</v>
      </c>
      <c r="F1320">
        <v>9.0</v>
      </c>
      <c r="G1320">
        <v>3.0</v>
      </c>
      <c r="H1320" t="str">
        <f t="shared" si="2"/>
        <v>27</v>
      </c>
      <c r="I1320">
        <v>86.0</v>
      </c>
      <c r="J1320" t="str">
        <f t="shared" si="3"/>
        <v>273.05</v>
      </c>
      <c r="K1320" t="str">
        <f t="shared" si="4"/>
        <v>980.2495</v>
      </c>
      <c r="L1320" t="str">
        <f t="shared" si="5"/>
        <v>3.630553704</v>
      </c>
      <c r="M1320" t="str">
        <f t="shared" si="6"/>
        <v>359</v>
      </c>
      <c r="N1320" t="s">
        <v>187</v>
      </c>
      <c r="O1320" t="s">
        <v>2353</v>
      </c>
    </row>
    <row r="1321" ht="15.75" customHeight="1">
      <c r="A1321">
        <v>1328.0</v>
      </c>
      <c r="B1321">
        <v>65.0</v>
      </c>
      <c r="C1321">
        <v>95.0</v>
      </c>
      <c r="D1321">
        <v>3.0</v>
      </c>
      <c r="E1321" t="str">
        <f t="shared" si="1"/>
        <v>6.6</v>
      </c>
      <c r="F1321">
        <v>4.0</v>
      </c>
      <c r="G1321">
        <v>3.0</v>
      </c>
      <c r="H1321" t="str">
        <f t="shared" si="2"/>
        <v>12</v>
      </c>
      <c r="I1321">
        <v>96.0</v>
      </c>
      <c r="J1321" t="str">
        <f t="shared" si="3"/>
        <v>304.8</v>
      </c>
      <c r="K1321" t="str">
        <f t="shared" si="4"/>
        <v>880.872</v>
      </c>
      <c r="L1321" t="str">
        <f t="shared" si="5"/>
        <v>7.3406</v>
      </c>
      <c r="M1321" t="str">
        <f t="shared" si="6"/>
        <v>289</v>
      </c>
      <c r="N1321" t="s">
        <v>187</v>
      </c>
      <c r="O1321" t="s">
        <v>2354</v>
      </c>
    </row>
    <row r="1322" ht="15.75" customHeight="1">
      <c r="A1322">
        <v>1329.0</v>
      </c>
      <c r="B1322">
        <v>90.0</v>
      </c>
      <c r="C1322">
        <v>37.0</v>
      </c>
      <c r="D1322">
        <v>3.0</v>
      </c>
      <c r="E1322" t="str">
        <f t="shared" si="1"/>
        <v>3.005</v>
      </c>
      <c r="F1322">
        <v>4.0</v>
      </c>
      <c r="G1322">
        <v>10.0</v>
      </c>
      <c r="H1322" t="str">
        <f t="shared" si="2"/>
        <v>40</v>
      </c>
      <c r="I1322">
        <v>126.0</v>
      </c>
      <c r="J1322" t="str">
        <f t="shared" si="3"/>
        <v>400.05</v>
      </c>
      <c r="K1322" t="str">
        <f t="shared" si="4"/>
        <v>1556.1945</v>
      </c>
      <c r="L1322" t="str">
        <f t="shared" si="5"/>
        <v>3.89048625</v>
      </c>
      <c r="M1322" t="str">
        <f t="shared" si="6"/>
        <v>389</v>
      </c>
      <c r="N1322" t="s">
        <v>187</v>
      </c>
      <c r="O1322" t="s">
        <v>2355</v>
      </c>
      <c r="P1322" t="s">
        <v>2356</v>
      </c>
    </row>
    <row r="1323" ht="15.75" customHeight="1">
      <c r="A1323">
        <v>1330.0</v>
      </c>
      <c r="B1323">
        <v>137.0</v>
      </c>
      <c r="C1323">
        <v>260.0</v>
      </c>
      <c r="D1323">
        <v>3.0</v>
      </c>
      <c r="E1323" t="str">
        <f t="shared" si="1"/>
        <v>6.7</v>
      </c>
      <c r="F1323">
        <v>2.0</v>
      </c>
      <c r="G1323">
        <v>1.0</v>
      </c>
      <c r="H1323" t="str">
        <f t="shared" si="2"/>
        <v>2</v>
      </c>
      <c r="I1323">
        <v>84.0</v>
      </c>
      <c r="J1323" t="str">
        <f t="shared" si="3"/>
        <v>266.7</v>
      </c>
      <c r="K1323" t="str">
        <f t="shared" si="4"/>
        <v>792.099</v>
      </c>
      <c r="L1323" t="str">
        <f t="shared" si="5"/>
        <v>39.60495</v>
      </c>
      <c r="M1323" t="str">
        <f t="shared" si="6"/>
        <v>297</v>
      </c>
      <c r="N1323" t="s">
        <v>187</v>
      </c>
      <c r="O1323" t="s">
        <v>2357</v>
      </c>
    </row>
    <row r="1324" ht="15.75" customHeight="1">
      <c r="A1324">
        <v>1331.0</v>
      </c>
      <c r="B1324">
        <v>65.0</v>
      </c>
      <c r="C1324">
        <v>45.0</v>
      </c>
      <c r="D1324">
        <v>3.0</v>
      </c>
      <c r="E1324" t="str">
        <f t="shared" si="1"/>
        <v>2.625</v>
      </c>
      <c r="F1324">
        <v>4.0</v>
      </c>
      <c r="G1324">
        <v>6.0</v>
      </c>
      <c r="H1324" t="str">
        <f t="shared" si="2"/>
        <v>24</v>
      </c>
      <c r="I1324">
        <v>90.0</v>
      </c>
      <c r="J1324" t="str">
        <f t="shared" si="3"/>
        <v>285.75</v>
      </c>
      <c r="K1324" t="str">
        <f t="shared" si="4"/>
        <v>825.8175</v>
      </c>
      <c r="L1324" t="str">
        <f t="shared" si="5"/>
        <v>3.44090625</v>
      </c>
      <c r="M1324" t="str">
        <f t="shared" si="6"/>
        <v>289</v>
      </c>
      <c r="N1324" t="s">
        <v>187</v>
      </c>
      <c r="O1324" t="s">
        <v>2358</v>
      </c>
    </row>
    <row r="1325" ht="15.75" customHeight="1">
      <c r="A1325">
        <v>1332.0</v>
      </c>
      <c r="B1325">
        <v>88.0</v>
      </c>
      <c r="C1325">
        <v>42.0</v>
      </c>
      <c r="D1325">
        <v>3.0</v>
      </c>
      <c r="E1325" t="str">
        <f t="shared" si="1"/>
        <v>3.508333333</v>
      </c>
      <c r="F1325">
        <v>2.0</v>
      </c>
      <c r="G1325">
        <v>6.0</v>
      </c>
      <c r="H1325" t="str">
        <f t="shared" si="2"/>
        <v>12</v>
      </c>
      <c r="I1325">
        <v>86.0</v>
      </c>
      <c r="J1325" t="str">
        <f t="shared" si="3"/>
        <v>273.05</v>
      </c>
      <c r="K1325" t="str">
        <f t="shared" si="4"/>
        <v>543.3695</v>
      </c>
      <c r="L1325" t="str">
        <f t="shared" si="5"/>
        <v>4.528079167</v>
      </c>
      <c r="M1325" t="str">
        <f t="shared" si="6"/>
        <v>199</v>
      </c>
      <c r="N1325" t="s">
        <v>187</v>
      </c>
      <c r="O1325" t="s">
        <v>2359</v>
      </c>
      <c r="P1325" s="126" t="s">
        <v>2360</v>
      </c>
    </row>
    <row r="1326" ht="15.75" customHeight="1">
      <c r="A1326">
        <v>1333.0</v>
      </c>
      <c r="B1326">
        <v>83.0</v>
      </c>
      <c r="C1326">
        <v>120.0</v>
      </c>
      <c r="D1326">
        <v>3.0</v>
      </c>
      <c r="E1326" t="str">
        <f t="shared" si="1"/>
        <v>7</v>
      </c>
      <c r="F1326">
        <v>4.0</v>
      </c>
      <c r="G1326">
        <v>3.0</v>
      </c>
      <c r="H1326" t="str">
        <f t="shared" si="2"/>
        <v>12</v>
      </c>
      <c r="I1326">
        <v>120.0</v>
      </c>
      <c r="J1326" t="str">
        <f t="shared" si="3"/>
        <v>381</v>
      </c>
      <c r="K1326" t="str">
        <f t="shared" si="4"/>
        <v>1375.41</v>
      </c>
      <c r="L1326" t="str">
        <f t="shared" si="5"/>
        <v>11.46175</v>
      </c>
      <c r="M1326" t="str">
        <f t="shared" si="6"/>
        <v>361</v>
      </c>
      <c r="N1326" t="s">
        <v>187</v>
      </c>
      <c r="O1326" t="s">
        <v>2361</v>
      </c>
    </row>
    <row r="1327" ht="15.75" customHeight="1">
      <c r="A1327">
        <v>1334.0</v>
      </c>
      <c r="B1327">
        <v>67.5</v>
      </c>
      <c r="C1327">
        <v>165.0</v>
      </c>
      <c r="D1327">
        <v>3.0</v>
      </c>
      <c r="E1327" t="str">
        <f t="shared" si="1"/>
        <v>6.45</v>
      </c>
      <c r="F1327">
        <v>5.0</v>
      </c>
      <c r="G1327">
        <v>2.0</v>
      </c>
      <c r="H1327" t="str">
        <f t="shared" si="2"/>
        <v>10</v>
      </c>
      <c r="I1327">
        <v>108.0</v>
      </c>
      <c r="J1327" t="str">
        <f t="shared" si="3"/>
        <v>342.9</v>
      </c>
      <c r="K1327" t="str">
        <f t="shared" si="4"/>
        <v>1267.0155</v>
      </c>
      <c r="L1327" t="str">
        <f t="shared" si="5"/>
        <v>12.670155</v>
      </c>
      <c r="M1327" t="str">
        <f t="shared" si="6"/>
        <v>369.5</v>
      </c>
      <c r="N1327" t="s">
        <v>187</v>
      </c>
      <c r="O1327" t="s">
        <v>2362</v>
      </c>
    </row>
    <row r="1328" ht="15.75" customHeight="1">
      <c r="A1328">
        <v>1335.0</v>
      </c>
      <c r="B1328">
        <v>54.0</v>
      </c>
      <c r="C1328">
        <v>40.0</v>
      </c>
      <c r="D1328">
        <v>5.0</v>
      </c>
      <c r="E1328" t="str">
        <f t="shared" si="1"/>
        <v>3.65625</v>
      </c>
      <c r="F1328">
        <v>5.0</v>
      </c>
      <c r="G1328">
        <v>8.0</v>
      </c>
      <c r="H1328" t="str">
        <f t="shared" si="2"/>
        <v>40</v>
      </c>
      <c r="I1328">
        <v>110.0</v>
      </c>
      <c r="J1328" t="str">
        <f t="shared" si="3"/>
        <v>349.25</v>
      </c>
      <c r="K1328" t="str">
        <f t="shared" si="4"/>
        <v>1089.66</v>
      </c>
      <c r="L1328" t="str">
        <f t="shared" si="5"/>
        <v>2.72415</v>
      </c>
      <c r="M1328" t="str">
        <f t="shared" si="6"/>
        <v>312</v>
      </c>
      <c r="N1328" t="s">
        <v>182</v>
      </c>
      <c r="O1328" t="s">
        <v>2363</v>
      </c>
      <c r="P1328" t="s">
        <v>2364</v>
      </c>
    </row>
    <row r="1329" ht="15.75" customHeight="1">
      <c r="A1329">
        <v>1336.0</v>
      </c>
      <c r="B1329">
        <v>50.0</v>
      </c>
      <c r="C1329">
        <v>50.0</v>
      </c>
      <c r="D1329">
        <v>3.0</v>
      </c>
      <c r="E1329" t="str">
        <f t="shared" si="1"/>
        <v>3.34</v>
      </c>
      <c r="F1329">
        <v>6.0</v>
      </c>
      <c r="G1329">
        <v>5.0</v>
      </c>
      <c r="H1329" t="str">
        <f t="shared" si="2"/>
        <v>30</v>
      </c>
      <c r="I1329">
        <v>84.0</v>
      </c>
      <c r="J1329" t="str">
        <f t="shared" si="3"/>
        <v>266.7</v>
      </c>
      <c r="K1329" t="str">
        <f t="shared" si="4"/>
        <v>893.445</v>
      </c>
      <c r="L1329" t="str">
        <f t="shared" si="5"/>
        <v>2.97815</v>
      </c>
      <c r="M1329" t="str">
        <f t="shared" si="6"/>
        <v>335</v>
      </c>
      <c r="N1329" t="s">
        <v>187</v>
      </c>
      <c r="O1329" t="s">
        <v>2365</v>
      </c>
    </row>
    <row r="1330" ht="15.75" customHeight="1">
      <c r="A1330">
        <v>1337.0</v>
      </c>
      <c r="B1330">
        <v>90.0</v>
      </c>
      <c r="C1330">
        <v>75.0</v>
      </c>
      <c r="D1330">
        <v>3.0</v>
      </c>
      <c r="E1330" t="str">
        <f t="shared" si="1"/>
        <v>2.7875</v>
      </c>
      <c r="F1330">
        <v>2.0</v>
      </c>
      <c r="G1330">
        <v>4.0</v>
      </c>
      <c r="H1330" t="str">
        <f t="shared" si="2"/>
        <v>8</v>
      </c>
      <c r="I1330">
        <v>98.0</v>
      </c>
      <c r="J1330" t="str">
        <f t="shared" si="3"/>
        <v>311.15</v>
      </c>
      <c r="K1330" t="str">
        <f t="shared" si="4"/>
        <v>631.6345</v>
      </c>
      <c r="L1330" t="str">
        <f t="shared" si="5"/>
        <v>7.89543125</v>
      </c>
      <c r="M1330" t="str">
        <f t="shared" si="6"/>
        <v>203</v>
      </c>
      <c r="N1330" t="s">
        <v>187</v>
      </c>
      <c r="O1330" t="s">
        <v>2366</v>
      </c>
    </row>
    <row r="1331" ht="15.75" customHeight="1">
      <c r="A1331">
        <v>1338.0</v>
      </c>
      <c r="B1331">
        <v>75.0</v>
      </c>
      <c r="C1331">
        <v>75.0</v>
      </c>
      <c r="D1331">
        <v>3.0</v>
      </c>
      <c r="E1331" t="str">
        <f t="shared" si="1"/>
        <v>2.7875</v>
      </c>
      <c r="F1331">
        <v>4.0</v>
      </c>
      <c r="G1331">
        <v>4.0</v>
      </c>
      <c r="H1331" t="str">
        <f t="shared" si="2"/>
        <v>16</v>
      </c>
      <c r="I1331">
        <v>98.0</v>
      </c>
      <c r="J1331" t="str">
        <f t="shared" si="3"/>
        <v>311.15</v>
      </c>
      <c r="K1331" t="str">
        <f t="shared" si="4"/>
        <v>1023.6835</v>
      </c>
      <c r="L1331" t="str">
        <f t="shared" si="5"/>
        <v>6.398021875</v>
      </c>
      <c r="M1331" t="str">
        <f t="shared" si="6"/>
        <v>329</v>
      </c>
      <c r="N1331" t="s">
        <v>187</v>
      </c>
      <c r="O1331" t="s">
        <v>2367</v>
      </c>
    </row>
    <row r="1332" ht="15.75" customHeight="1">
      <c r="A1332">
        <v>1339.0</v>
      </c>
      <c r="B1332">
        <v>125.0</v>
      </c>
      <c r="C1332">
        <v>85.0</v>
      </c>
      <c r="D1332">
        <v>5.0</v>
      </c>
      <c r="E1332" t="str">
        <f t="shared" si="1"/>
        <v>3.9</v>
      </c>
      <c r="F1332">
        <v>2.0</v>
      </c>
      <c r="G1332">
        <v>3.0</v>
      </c>
      <c r="H1332" t="str">
        <f t="shared" si="2"/>
        <v>6</v>
      </c>
      <c r="I1332">
        <v>84.0</v>
      </c>
      <c r="J1332" t="str">
        <f t="shared" si="3"/>
        <v>266.7</v>
      </c>
      <c r="K1332" t="str">
        <f t="shared" si="4"/>
        <v>738.759</v>
      </c>
      <c r="L1332" t="str">
        <f t="shared" si="5"/>
        <v>12.31265</v>
      </c>
      <c r="M1332" t="str">
        <f t="shared" si="6"/>
        <v>277</v>
      </c>
      <c r="N1332" t="s">
        <v>187</v>
      </c>
      <c r="O1332" t="s">
        <v>2368</v>
      </c>
      <c r="P1332" t="s">
        <v>2369</v>
      </c>
    </row>
    <row r="1333" ht="15.75" customHeight="1">
      <c r="A1333">
        <v>1340.0</v>
      </c>
      <c r="B1333">
        <v>20.0</v>
      </c>
      <c r="C1333">
        <v>35.0</v>
      </c>
      <c r="D1333">
        <v>3.0</v>
      </c>
      <c r="E1333" t="str">
        <f t="shared" si="1"/>
        <v>3.1</v>
      </c>
      <c r="F1333">
        <v>7.0</v>
      </c>
      <c r="G1333">
        <v>8.0</v>
      </c>
      <c r="H1333" t="str">
        <f t="shared" si="2"/>
        <v>56</v>
      </c>
      <c r="I1333">
        <v>96.0</v>
      </c>
      <c r="J1333" t="str">
        <f t="shared" si="3"/>
        <v>304.8</v>
      </c>
      <c r="K1333" t="str">
        <f t="shared" si="4"/>
        <v>542.544</v>
      </c>
      <c r="L1333" t="str">
        <f t="shared" si="5"/>
        <v>0.9688285714</v>
      </c>
      <c r="M1333" t="str">
        <f t="shared" si="6"/>
        <v>178</v>
      </c>
      <c r="N1333" t="s">
        <v>187</v>
      </c>
      <c r="O1333" t="s">
        <v>2370</v>
      </c>
    </row>
    <row r="1334" ht="15.75" customHeight="1">
      <c r="A1334">
        <v>1341.0</v>
      </c>
      <c r="B1334">
        <v>30.0</v>
      </c>
      <c r="C1334">
        <v>80.0</v>
      </c>
      <c r="D1334">
        <v>3.0</v>
      </c>
      <c r="E1334" t="str">
        <f t="shared" si="1"/>
        <v>3.34375</v>
      </c>
      <c r="F1334">
        <v>8.0</v>
      </c>
      <c r="G1334">
        <v>4.0</v>
      </c>
      <c r="H1334" t="str">
        <f t="shared" si="2"/>
        <v>32</v>
      </c>
      <c r="I1334">
        <v>105.0</v>
      </c>
      <c r="J1334" t="str">
        <f t="shared" si="3"/>
        <v>333.375</v>
      </c>
      <c r="K1334" t="str">
        <f t="shared" si="4"/>
        <v>936.78375</v>
      </c>
      <c r="L1334" t="str">
        <f t="shared" si="5"/>
        <v>2.927449219</v>
      </c>
      <c r="M1334" t="str">
        <f t="shared" si="6"/>
        <v>281</v>
      </c>
      <c r="N1334" t="s">
        <v>182</v>
      </c>
      <c r="O1334" t="s">
        <v>2371</v>
      </c>
    </row>
    <row r="1335" ht="15.75" customHeight="1">
      <c r="A1335">
        <v>1342.0</v>
      </c>
      <c r="B1335">
        <v>70.0</v>
      </c>
      <c r="C1335">
        <v>195.0</v>
      </c>
      <c r="D1335">
        <v>3.0</v>
      </c>
      <c r="E1335" t="str">
        <f t="shared" si="1"/>
        <v>5.025</v>
      </c>
      <c r="F1335">
        <v>4.0</v>
      </c>
      <c r="G1335">
        <v>2.0</v>
      </c>
      <c r="H1335" t="str">
        <f t="shared" si="2"/>
        <v>8</v>
      </c>
      <c r="I1335">
        <v>126.0</v>
      </c>
      <c r="J1335" t="str">
        <f t="shared" si="3"/>
        <v>400.05</v>
      </c>
      <c r="K1335" t="str">
        <f t="shared" si="4"/>
        <v>1236.1545</v>
      </c>
      <c r="L1335" t="str">
        <f t="shared" si="5"/>
        <v>15.45193125</v>
      </c>
      <c r="M1335" t="str">
        <f t="shared" si="6"/>
        <v>309</v>
      </c>
      <c r="N1335" t="s">
        <v>187</v>
      </c>
      <c r="O1335" t="s">
        <v>2372</v>
      </c>
    </row>
    <row r="1336" ht="15.75" customHeight="1">
      <c r="A1336">
        <v>1343.0</v>
      </c>
      <c r="B1336">
        <v>40.0</v>
      </c>
      <c r="C1336">
        <v>72.0</v>
      </c>
      <c r="D1336">
        <v>3.0</v>
      </c>
      <c r="E1336" t="str">
        <f t="shared" si="1"/>
        <v>4.2</v>
      </c>
      <c r="F1336">
        <v>7.0</v>
      </c>
      <c r="G1336">
        <v>4.0</v>
      </c>
      <c r="H1336" t="str">
        <f t="shared" si="2"/>
        <v>28</v>
      </c>
      <c r="I1336">
        <v>96.0</v>
      </c>
      <c r="J1336" t="str">
        <f t="shared" si="3"/>
        <v>304.8</v>
      </c>
      <c r="K1336" t="str">
        <f t="shared" si="4"/>
        <v>969.264</v>
      </c>
      <c r="L1336" t="str">
        <f t="shared" si="5"/>
        <v>3.461657143</v>
      </c>
      <c r="M1336" t="str">
        <f t="shared" si="6"/>
        <v>318</v>
      </c>
      <c r="N1336" t="s">
        <v>182</v>
      </c>
      <c r="O1336" t="s">
        <v>2373</v>
      </c>
    </row>
    <row r="1337" ht="15.75" customHeight="1">
      <c r="A1337">
        <v>1344.0</v>
      </c>
      <c r="B1337">
        <v>70.0</v>
      </c>
      <c r="C1337">
        <v>200.0</v>
      </c>
      <c r="D1337">
        <v>3.0</v>
      </c>
      <c r="E1337" t="str">
        <f t="shared" si="1"/>
        <v>9.55</v>
      </c>
      <c r="F1337">
        <v>4.0</v>
      </c>
      <c r="G1337">
        <v>2.0</v>
      </c>
      <c r="H1337" t="str">
        <f t="shared" si="2"/>
        <v>8</v>
      </c>
      <c r="I1337">
        <v>132.0</v>
      </c>
      <c r="J1337" t="str">
        <f t="shared" si="3"/>
        <v>419.1</v>
      </c>
      <c r="K1337" t="str">
        <f t="shared" si="4"/>
        <v>1295.019</v>
      </c>
      <c r="L1337" t="str">
        <f t="shared" si="5"/>
        <v>16.1877375</v>
      </c>
      <c r="M1337" t="str">
        <f t="shared" si="6"/>
        <v>309</v>
      </c>
      <c r="N1337" t="s">
        <v>187</v>
      </c>
      <c r="O1337" t="s">
        <v>2374</v>
      </c>
    </row>
    <row r="1338" ht="15.75" customHeight="1">
      <c r="A1338">
        <v>1345.0</v>
      </c>
      <c r="B1338">
        <v>113.0</v>
      </c>
      <c r="C1338">
        <v>259.0</v>
      </c>
      <c r="D1338">
        <v>3.0</v>
      </c>
      <c r="E1338" t="str">
        <f t="shared" si="1"/>
        <v>7.7</v>
      </c>
      <c r="F1338">
        <v>2.0</v>
      </c>
      <c r="G1338">
        <v>1.0</v>
      </c>
      <c r="H1338" t="str">
        <f t="shared" si="2"/>
        <v>2</v>
      </c>
      <c r="I1338">
        <v>84.0</v>
      </c>
      <c r="J1338" t="str">
        <f t="shared" si="3"/>
        <v>266.7</v>
      </c>
      <c r="K1338" t="str">
        <f t="shared" si="4"/>
        <v>664.083</v>
      </c>
      <c r="L1338" t="str">
        <f t="shared" si="5"/>
        <v>33.20415</v>
      </c>
      <c r="M1338" t="str">
        <f t="shared" si="6"/>
        <v>249</v>
      </c>
      <c r="N1338" t="s">
        <v>187</v>
      </c>
      <c r="O1338" t="s">
        <v>2375</v>
      </c>
    </row>
    <row r="1339" ht="15.75" customHeight="1">
      <c r="A1339">
        <v>1346.0</v>
      </c>
      <c r="B1339">
        <v>12.0</v>
      </c>
      <c r="C1339">
        <v>12.0</v>
      </c>
      <c r="D1339">
        <v>3.0</v>
      </c>
      <c r="E1339" t="str">
        <f t="shared" si="1"/>
        <v>3.039473684</v>
      </c>
      <c r="F1339">
        <v>20.0</v>
      </c>
      <c r="G1339">
        <v>19.0</v>
      </c>
      <c r="H1339" t="str">
        <f t="shared" si="2"/>
        <v>380</v>
      </c>
      <c r="I1339">
        <v>90.0</v>
      </c>
      <c r="J1339" t="str">
        <f t="shared" si="3"/>
        <v>285.75</v>
      </c>
      <c r="K1339" t="str">
        <f t="shared" si="4"/>
        <v>905.8275</v>
      </c>
      <c r="L1339" t="str">
        <f t="shared" si="5"/>
        <v>0.2383756579</v>
      </c>
      <c r="M1339" t="str">
        <f t="shared" si="6"/>
        <v>317</v>
      </c>
      <c r="N1339" t="s">
        <v>182</v>
      </c>
      <c r="O1339" t="s">
        <v>2376</v>
      </c>
      <c r="P1339" t="s">
        <v>2377</v>
      </c>
    </row>
    <row r="1340" ht="15.75" customHeight="1">
      <c r="A1340">
        <v>1347.0</v>
      </c>
      <c r="B1340">
        <v>67.0</v>
      </c>
      <c r="C1340">
        <v>105.0</v>
      </c>
      <c r="D1340">
        <v>3.0</v>
      </c>
      <c r="E1340" t="str">
        <f t="shared" si="1"/>
        <v>2.95</v>
      </c>
      <c r="F1340">
        <v>5.0</v>
      </c>
      <c r="G1340">
        <v>3.0</v>
      </c>
      <c r="H1340" t="str">
        <f t="shared" si="2"/>
        <v>15</v>
      </c>
      <c r="I1340">
        <v>102.0</v>
      </c>
      <c r="J1340" t="str">
        <f t="shared" si="3"/>
        <v>323.85</v>
      </c>
      <c r="K1340" t="str">
        <f t="shared" si="4"/>
        <v>1188.5295</v>
      </c>
      <c r="L1340" t="str">
        <f t="shared" si="5"/>
        <v>7.92353</v>
      </c>
      <c r="M1340" t="str">
        <f t="shared" si="6"/>
        <v>367</v>
      </c>
      <c r="N1340" t="s">
        <v>187</v>
      </c>
      <c r="O1340" t="s">
        <v>2378</v>
      </c>
    </row>
    <row r="1341" ht="15.75" customHeight="1">
      <c r="A1341">
        <v>1348.0</v>
      </c>
      <c r="B1341">
        <v>45.0</v>
      </c>
      <c r="C1341">
        <v>295.0</v>
      </c>
      <c r="D1341">
        <v>3.0</v>
      </c>
      <c r="E1341" t="str">
        <f t="shared" si="1"/>
        <v>9.8</v>
      </c>
      <c r="F1341">
        <v>5.0</v>
      </c>
      <c r="G1341">
        <v>1.0</v>
      </c>
      <c r="H1341" t="str">
        <f t="shared" si="2"/>
        <v>5</v>
      </c>
      <c r="I1341">
        <v>96.0</v>
      </c>
      <c r="J1341" t="str">
        <f t="shared" si="3"/>
        <v>304.8</v>
      </c>
      <c r="K1341" t="str">
        <f t="shared" si="4"/>
        <v>783.336</v>
      </c>
      <c r="L1341" t="str">
        <f t="shared" si="5"/>
        <v>15.66672</v>
      </c>
      <c r="M1341" t="str">
        <f t="shared" si="6"/>
        <v>257</v>
      </c>
      <c r="N1341" t="s">
        <v>187</v>
      </c>
      <c r="O1341" t="s">
        <v>2379</v>
      </c>
      <c r="P1341" t="s">
        <v>691</v>
      </c>
    </row>
    <row r="1342" ht="15.75" customHeight="1">
      <c r="A1342">
        <v>1349.0</v>
      </c>
      <c r="B1342">
        <v>150.0</v>
      </c>
      <c r="C1342">
        <v>100.0</v>
      </c>
      <c r="D1342">
        <v>3.0</v>
      </c>
      <c r="E1342" t="str">
        <f t="shared" si="1"/>
        <v>3.716666667</v>
      </c>
      <c r="F1342">
        <v>2.0</v>
      </c>
      <c r="G1342">
        <v>3.0</v>
      </c>
      <c r="H1342" t="str">
        <f t="shared" si="2"/>
        <v>6</v>
      </c>
      <c r="I1342">
        <v>98.0</v>
      </c>
      <c r="J1342" t="str">
        <f t="shared" si="3"/>
        <v>311.15</v>
      </c>
      <c r="K1342" t="str">
        <f t="shared" si="4"/>
        <v>1005.0145</v>
      </c>
      <c r="L1342" t="str">
        <f t="shared" si="5"/>
        <v>16.75024167</v>
      </c>
      <c r="M1342" t="str">
        <f t="shared" si="6"/>
        <v>323</v>
      </c>
      <c r="N1342" t="s">
        <v>182</v>
      </c>
      <c r="O1342" t="s">
        <v>2380</v>
      </c>
    </row>
    <row r="1343" ht="15.75" customHeight="1">
      <c r="A1343">
        <v>1350.0</v>
      </c>
      <c r="B1343">
        <v>70.0</v>
      </c>
      <c r="C1343">
        <v>140.0</v>
      </c>
      <c r="D1343">
        <v>3.0</v>
      </c>
      <c r="E1343" t="str">
        <f t="shared" si="1"/>
        <v>2.875</v>
      </c>
      <c r="F1343">
        <v>4.0</v>
      </c>
      <c r="G1343">
        <v>3.0</v>
      </c>
      <c r="H1343" t="str">
        <f t="shared" si="2"/>
        <v>12</v>
      </c>
      <c r="I1343">
        <v>135.0</v>
      </c>
      <c r="J1343" t="str">
        <f t="shared" si="3"/>
        <v>428.625</v>
      </c>
      <c r="K1343" t="str">
        <f t="shared" si="4"/>
        <v>1324.45125</v>
      </c>
      <c r="L1343" t="str">
        <f t="shared" si="5"/>
        <v>11.03709375</v>
      </c>
      <c r="M1343" t="str">
        <f t="shared" si="6"/>
        <v>309</v>
      </c>
      <c r="N1343" t="s">
        <v>187</v>
      </c>
      <c r="O1343" t="s">
        <v>2381</v>
      </c>
      <c r="P1343" t="s">
        <v>2382</v>
      </c>
    </row>
    <row r="1344" ht="15.75" customHeight="1">
      <c r="A1344">
        <v>1351.0</v>
      </c>
      <c r="B1344">
        <v>102.0</v>
      </c>
      <c r="C1344">
        <v>52.0</v>
      </c>
      <c r="D1344">
        <v>3.0</v>
      </c>
      <c r="E1344" t="str">
        <f t="shared" si="1"/>
        <v>3.88</v>
      </c>
      <c r="F1344">
        <v>2.0</v>
      </c>
      <c r="G1344">
        <v>5.0</v>
      </c>
      <c r="H1344" t="str">
        <f t="shared" si="2"/>
        <v>10</v>
      </c>
      <c r="I1344">
        <v>88.0</v>
      </c>
      <c r="J1344" t="str">
        <f t="shared" si="3"/>
        <v>279.4</v>
      </c>
      <c r="K1344" t="str">
        <f t="shared" si="4"/>
        <v>634.238</v>
      </c>
      <c r="L1344" t="str">
        <f t="shared" si="5"/>
        <v>6.34238</v>
      </c>
      <c r="M1344" t="str">
        <f t="shared" si="6"/>
        <v>227</v>
      </c>
      <c r="N1344" t="s">
        <v>182</v>
      </c>
      <c r="O1344" t="s">
        <v>2383</v>
      </c>
      <c r="P1344" s="126" t="s">
        <v>2384</v>
      </c>
    </row>
    <row r="1345" ht="15.75" customHeight="1">
      <c r="A1345">
        <v>1352.0</v>
      </c>
      <c r="B1345">
        <v>45.0</v>
      </c>
      <c r="C1345">
        <v>98.0</v>
      </c>
      <c r="D1345">
        <v>3.0</v>
      </c>
      <c r="E1345" t="str">
        <f t="shared" si="1"/>
        <v>3.6</v>
      </c>
      <c r="F1345">
        <v>8.0</v>
      </c>
      <c r="G1345">
        <v>3.0</v>
      </c>
      <c r="H1345" t="str">
        <f t="shared" si="2"/>
        <v>24</v>
      </c>
      <c r="I1345">
        <v>96.0</v>
      </c>
      <c r="J1345" t="str">
        <f t="shared" si="3"/>
        <v>304.8</v>
      </c>
      <c r="K1345" t="str">
        <f t="shared" si="4"/>
        <v>1222.248</v>
      </c>
      <c r="L1345" t="str">
        <f t="shared" si="5"/>
        <v>5.0927</v>
      </c>
      <c r="M1345" t="str">
        <f t="shared" si="6"/>
        <v>401</v>
      </c>
      <c r="N1345" t="s">
        <v>182</v>
      </c>
      <c r="O1345" t="s">
        <v>2385</v>
      </c>
      <c r="P1345" t="s">
        <v>2386</v>
      </c>
    </row>
    <row r="1346" ht="15.75" customHeight="1">
      <c r="A1346">
        <v>1353.0</v>
      </c>
      <c r="B1346">
        <v>105.0</v>
      </c>
      <c r="C1346">
        <v>200.0</v>
      </c>
      <c r="D1346">
        <v>3.0</v>
      </c>
      <c r="E1346" t="str">
        <f t="shared" si="1"/>
        <v>9.55</v>
      </c>
      <c r="F1346">
        <v>3.0</v>
      </c>
      <c r="G1346">
        <v>2.0</v>
      </c>
      <c r="H1346" t="str">
        <f t="shared" si="2"/>
        <v>6</v>
      </c>
      <c r="I1346">
        <v>132.0</v>
      </c>
      <c r="J1346" t="str">
        <f t="shared" si="3"/>
        <v>419.1</v>
      </c>
      <c r="K1346" t="str">
        <f t="shared" si="4"/>
        <v>1429.131</v>
      </c>
      <c r="L1346" t="str">
        <f t="shared" si="5"/>
        <v>23.81885</v>
      </c>
      <c r="M1346" t="str">
        <f t="shared" si="6"/>
        <v>341</v>
      </c>
      <c r="N1346" t="s">
        <v>187</v>
      </c>
      <c r="O1346" t="s">
        <v>2387</v>
      </c>
      <c r="P1346" t="s">
        <v>2388</v>
      </c>
    </row>
    <row r="1347" ht="15.75" customHeight="1">
      <c r="A1347">
        <v>1354.0</v>
      </c>
      <c r="B1347">
        <v>55.0</v>
      </c>
      <c r="C1347">
        <v>110.0</v>
      </c>
      <c r="D1347">
        <v>3.0</v>
      </c>
      <c r="E1347" t="str">
        <f t="shared" si="1"/>
        <v>4.3</v>
      </c>
      <c r="F1347">
        <v>6.0</v>
      </c>
      <c r="G1347">
        <v>3.0</v>
      </c>
      <c r="H1347" t="str">
        <f t="shared" si="2"/>
        <v>18</v>
      </c>
      <c r="I1347">
        <v>108.0</v>
      </c>
      <c r="J1347" t="str">
        <f t="shared" si="3"/>
        <v>342.9</v>
      </c>
      <c r="K1347" t="str">
        <f t="shared" si="4"/>
        <v>1251.585</v>
      </c>
      <c r="L1347" t="str">
        <f t="shared" si="5"/>
        <v>6.95325</v>
      </c>
      <c r="M1347" t="str">
        <f t="shared" si="6"/>
        <v>365</v>
      </c>
      <c r="N1347" t="s">
        <v>182</v>
      </c>
      <c r="O1347" t="s">
        <v>2389</v>
      </c>
      <c r="P1347" s="126" t="s">
        <v>2390</v>
      </c>
    </row>
    <row r="1348" ht="15.75" customHeight="1">
      <c r="A1348">
        <v>1355.0</v>
      </c>
      <c r="B1348">
        <v>90.0</v>
      </c>
      <c r="C1348">
        <v>145.0</v>
      </c>
      <c r="D1348">
        <v>3.0</v>
      </c>
      <c r="E1348" t="str">
        <f t="shared" si="1"/>
        <v>7.4</v>
      </c>
      <c r="F1348">
        <v>3.0</v>
      </c>
      <c r="G1348">
        <v>2.0</v>
      </c>
      <c r="H1348" t="str">
        <f t="shared" si="2"/>
        <v>6</v>
      </c>
      <c r="I1348">
        <v>96.0</v>
      </c>
      <c r="J1348" t="str">
        <f t="shared" si="3"/>
        <v>304.8</v>
      </c>
      <c r="K1348" t="str">
        <f t="shared" si="4"/>
        <v>902.208</v>
      </c>
      <c r="L1348" t="str">
        <f t="shared" si="5"/>
        <v>15.0368</v>
      </c>
      <c r="M1348" t="str">
        <f t="shared" si="6"/>
        <v>296</v>
      </c>
      <c r="N1348" t="s">
        <v>182</v>
      </c>
      <c r="O1348" t="s">
        <v>2391</v>
      </c>
    </row>
    <row r="1349" ht="15.75" customHeight="1">
      <c r="A1349">
        <v>1356.0</v>
      </c>
      <c r="B1349">
        <v>100.0</v>
      </c>
      <c r="C1349">
        <v>80.0</v>
      </c>
      <c r="D1349">
        <v>3.0</v>
      </c>
      <c r="E1349" t="str">
        <f t="shared" si="1"/>
        <v>3.34375</v>
      </c>
      <c r="F1349">
        <v>3.0</v>
      </c>
      <c r="G1349">
        <v>4.0</v>
      </c>
      <c r="H1349" t="str">
        <f t="shared" si="2"/>
        <v>12</v>
      </c>
      <c r="I1349">
        <v>105.0</v>
      </c>
      <c r="J1349" t="str">
        <f t="shared" si="3"/>
        <v>333.375</v>
      </c>
      <c r="K1349" t="str">
        <f t="shared" si="4"/>
        <v>1086.8025</v>
      </c>
      <c r="L1349" t="str">
        <f t="shared" si="5"/>
        <v>9.0566875</v>
      </c>
      <c r="M1349" t="str">
        <f t="shared" si="6"/>
        <v>326</v>
      </c>
      <c r="N1349" t="s">
        <v>187</v>
      </c>
      <c r="O1349" t="s">
        <v>2392</v>
      </c>
      <c r="P1349" t="s">
        <v>2393</v>
      </c>
    </row>
    <row r="1350" ht="15.75" customHeight="1">
      <c r="A1350">
        <v>1357.0</v>
      </c>
      <c r="B1350">
        <v>70.0</v>
      </c>
      <c r="C1350">
        <v>24.822</v>
      </c>
      <c r="D1350">
        <v>0.0</v>
      </c>
      <c r="E1350" t="str">
        <f t="shared" si="1"/>
        <v>0.0007272727273</v>
      </c>
      <c r="F1350">
        <v>5.0</v>
      </c>
      <c r="G1350">
        <v>11.0</v>
      </c>
      <c r="H1350" t="str">
        <f t="shared" si="2"/>
        <v>55</v>
      </c>
      <c r="I1350">
        <v>86.0</v>
      </c>
      <c r="J1350" t="str">
        <f t="shared" si="3"/>
        <v>273.05</v>
      </c>
      <c r="K1350" t="str">
        <f t="shared" si="4"/>
        <v>1002.0935</v>
      </c>
      <c r="L1350" t="str">
        <f t="shared" si="5"/>
        <v>1.821988182</v>
      </c>
      <c r="M1350" t="str">
        <f t="shared" si="6"/>
        <v>367</v>
      </c>
      <c r="N1350" t="s">
        <v>182</v>
      </c>
      <c r="O1350" t="s">
        <v>2394</v>
      </c>
      <c r="P1350" t="s">
        <v>691</v>
      </c>
    </row>
    <row r="1351" ht="15.75" customHeight="1">
      <c r="A1351">
        <v>1358.0</v>
      </c>
      <c r="B1351">
        <v>25.0</v>
      </c>
      <c r="C1351">
        <v>45.0</v>
      </c>
      <c r="D1351">
        <v>3.0</v>
      </c>
      <c r="E1351" t="str">
        <f t="shared" si="1"/>
        <v>3.985714286</v>
      </c>
      <c r="F1351">
        <v>12.0</v>
      </c>
      <c r="G1351">
        <v>7.0</v>
      </c>
      <c r="H1351" t="str">
        <f t="shared" si="2"/>
        <v>84</v>
      </c>
      <c r="I1351">
        <v>108.0</v>
      </c>
      <c r="J1351" t="str">
        <f t="shared" si="3"/>
        <v>342.9</v>
      </c>
      <c r="K1351" t="str">
        <f t="shared" si="4"/>
        <v>1210.437</v>
      </c>
      <c r="L1351" t="str">
        <f t="shared" si="5"/>
        <v>1.440996429</v>
      </c>
      <c r="M1351" t="str">
        <f t="shared" si="6"/>
        <v>353</v>
      </c>
      <c r="N1351" t="s">
        <v>187</v>
      </c>
      <c r="O1351" t="s">
        <v>2395</v>
      </c>
      <c r="P1351" t="s">
        <v>2396</v>
      </c>
    </row>
    <row r="1352" ht="15.75" customHeight="1">
      <c r="A1352">
        <v>1359.0</v>
      </c>
      <c r="B1352">
        <v>90.0</v>
      </c>
      <c r="C1352">
        <v>46.0</v>
      </c>
      <c r="D1352">
        <v>3.0</v>
      </c>
      <c r="E1352" t="str">
        <f t="shared" si="1"/>
        <v>2.985714286</v>
      </c>
      <c r="F1352">
        <v>4.0</v>
      </c>
      <c r="G1352">
        <v>7.0</v>
      </c>
      <c r="H1352" t="str">
        <f t="shared" si="2"/>
        <v>28</v>
      </c>
      <c r="I1352">
        <v>108.0</v>
      </c>
      <c r="J1352" t="str">
        <f t="shared" si="3"/>
        <v>342.9</v>
      </c>
      <c r="K1352" t="str">
        <f t="shared" si="4"/>
        <v>1333.881</v>
      </c>
      <c r="L1352" t="str">
        <f t="shared" si="5"/>
        <v>4.763860714</v>
      </c>
      <c r="M1352" t="str">
        <f t="shared" si="6"/>
        <v>389</v>
      </c>
      <c r="N1352" t="s">
        <v>182</v>
      </c>
      <c r="O1352" t="s">
        <v>2397</v>
      </c>
      <c r="P1352" t="s">
        <v>2398</v>
      </c>
    </row>
    <row r="1353" ht="15.75" customHeight="1">
      <c r="A1353">
        <v>1360.0</v>
      </c>
      <c r="B1353">
        <v>30.0</v>
      </c>
      <c r="C1353">
        <v>13.0</v>
      </c>
      <c r="D1353">
        <v>3.0</v>
      </c>
      <c r="E1353" t="str">
        <f t="shared" si="1"/>
        <v>3.061764706</v>
      </c>
      <c r="F1353">
        <v>8.0</v>
      </c>
      <c r="G1353">
        <v>17.0</v>
      </c>
      <c r="H1353" t="str">
        <f t="shared" si="2"/>
        <v>136</v>
      </c>
      <c r="I1353">
        <v>86.0</v>
      </c>
      <c r="J1353" t="str">
        <f t="shared" si="3"/>
        <v>273.05</v>
      </c>
      <c r="K1353" t="str">
        <f t="shared" si="4"/>
        <v>767.2705</v>
      </c>
      <c r="L1353" t="str">
        <f t="shared" si="5"/>
        <v>0.5641694853</v>
      </c>
      <c r="M1353" t="str">
        <f t="shared" si="6"/>
        <v>281</v>
      </c>
      <c r="N1353" t="s">
        <v>182</v>
      </c>
      <c r="O1353" t="s">
        <v>2399</v>
      </c>
    </row>
    <row r="1354" ht="15.75" customHeight="1">
      <c r="A1354">
        <v>1361.0</v>
      </c>
      <c r="B1354">
        <v>101.8</v>
      </c>
      <c r="C1354">
        <v>63.9</v>
      </c>
      <c r="D1354">
        <v>5.0</v>
      </c>
      <c r="E1354" t="str">
        <f t="shared" si="1"/>
        <v>4.3625</v>
      </c>
      <c r="F1354">
        <v>2.0</v>
      </c>
      <c r="G1354">
        <v>4.0</v>
      </c>
      <c r="H1354" t="str">
        <f t="shared" si="2"/>
        <v>8</v>
      </c>
      <c r="I1354">
        <v>86.0</v>
      </c>
      <c r="J1354" t="str">
        <f t="shared" si="3"/>
        <v>273.05</v>
      </c>
      <c r="K1354" t="str">
        <f t="shared" si="4"/>
        <v>629.6533</v>
      </c>
      <c r="L1354" t="str">
        <f t="shared" si="5"/>
        <v>7.87066625</v>
      </c>
      <c r="M1354" t="str">
        <f t="shared" si="6"/>
        <v>230.6</v>
      </c>
      <c r="N1354" t="s">
        <v>187</v>
      </c>
      <c r="O1354" t="s">
        <v>2400</v>
      </c>
      <c r="P1354" t="s">
        <v>2401</v>
      </c>
    </row>
    <row r="1355" ht="15.75" customHeight="1">
      <c r="A1355">
        <v>1362.0</v>
      </c>
      <c r="B1355">
        <v>158.0</v>
      </c>
      <c r="C1355">
        <v>90.0</v>
      </c>
      <c r="D1355">
        <v>3.0</v>
      </c>
      <c r="E1355" t="str">
        <f t="shared" si="1"/>
        <v>3.133333333</v>
      </c>
      <c r="F1355">
        <v>2.0</v>
      </c>
      <c r="G1355">
        <v>3.0</v>
      </c>
      <c r="H1355" t="str">
        <f t="shared" si="2"/>
        <v>6</v>
      </c>
      <c r="I1355">
        <v>88.0</v>
      </c>
      <c r="J1355" t="str">
        <f t="shared" si="3"/>
        <v>279.4</v>
      </c>
      <c r="K1355" t="str">
        <f t="shared" si="4"/>
        <v>947.166</v>
      </c>
      <c r="L1355" t="str">
        <f t="shared" si="5"/>
        <v>15.7861</v>
      </c>
      <c r="M1355" t="str">
        <f t="shared" si="6"/>
        <v>339</v>
      </c>
      <c r="N1355" t="s">
        <v>187</v>
      </c>
      <c r="O1355" t="s">
        <v>2402</v>
      </c>
      <c r="P1355" s="126" t="s">
        <v>2403</v>
      </c>
    </row>
    <row r="1356" ht="15.75" customHeight="1">
      <c r="A1356">
        <v>1363.0</v>
      </c>
      <c r="B1356">
        <v>187.5</v>
      </c>
      <c r="C1356">
        <v>141.5</v>
      </c>
      <c r="D1356">
        <v>3.0</v>
      </c>
      <c r="E1356" t="str">
        <f t="shared" si="1"/>
        <v>10.9</v>
      </c>
      <c r="F1356">
        <v>2.0</v>
      </c>
      <c r="G1356">
        <v>2.0</v>
      </c>
      <c r="H1356" t="str">
        <f t="shared" si="2"/>
        <v>4</v>
      </c>
      <c r="I1356">
        <v>96.0</v>
      </c>
      <c r="J1356" t="str">
        <f t="shared" si="3"/>
        <v>304.8</v>
      </c>
      <c r="K1356" t="str">
        <f t="shared" si="4"/>
        <v>1213.104</v>
      </c>
      <c r="L1356" t="str">
        <f t="shared" si="5"/>
        <v>30.3276</v>
      </c>
      <c r="M1356" t="str">
        <f t="shared" si="6"/>
        <v>398</v>
      </c>
      <c r="N1356" t="s">
        <v>187</v>
      </c>
      <c r="O1356" t="s">
        <v>2404</v>
      </c>
      <c r="P1356" s="126" t="s">
        <v>2405</v>
      </c>
    </row>
    <row r="1357" ht="15.75" customHeight="1">
      <c r="A1357">
        <v>1364.0</v>
      </c>
      <c r="B1357">
        <v>158.0</v>
      </c>
      <c r="C1357">
        <v>101.0</v>
      </c>
      <c r="D1357">
        <v>3.0</v>
      </c>
      <c r="E1357" t="str">
        <f t="shared" si="1"/>
        <v>3.775</v>
      </c>
      <c r="F1357">
        <v>2.0</v>
      </c>
      <c r="G1357">
        <v>5.0</v>
      </c>
      <c r="H1357" t="str">
        <f t="shared" si="2"/>
        <v>10</v>
      </c>
      <c r="I1357">
        <v>165.0</v>
      </c>
      <c r="J1357" t="str">
        <f t="shared" si="3"/>
        <v>523.875</v>
      </c>
      <c r="K1357" t="str">
        <f t="shared" si="4"/>
        <v>1775.93625</v>
      </c>
      <c r="L1357" t="str">
        <f t="shared" si="5"/>
        <v>17.7593625</v>
      </c>
      <c r="M1357" t="str">
        <f t="shared" si="6"/>
        <v>339</v>
      </c>
      <c r="N1357" t="s">
        <v>187</v>
      </c>
      <c r="O1357" t="s">
        <v>2406</v>
      </c>
      <c r="P1357" s="126" t="s">
        <v>2407</v>
      </c>
    </row>
    <row r="1358" ht="15.75" customHeight="1">
      <c r="A1358">
        <v>1365.0</v>
      </c>
      <c r="B1358">
        <v>194.0</v>
      </c>
      <c r="C1358">
        <v>148.0</v>
      </c>
      <c r="D1358">
        <v>5.0</v>
      </c>
      <c r="E1358" t="str">
        <f t="shared" si="1"/>
        <v>4.4</v>
      </c>
      <c r="F1358">
        <v>2.0</v>
      </c>
      <c r="G1358">
        <v>2.0</v>
      </c>
      <c r="H1358" t="str">
        <f t="shared" si="2"/>
        <v>4</v>
      </c>
      <c r="I1358">
        <v>96.0</v>
      </c>
      <c r="J1358" t="str">
        <f t="shared" si="3"/>
        <v>304.8</v>
      </c>
      <c r="K1358" t="str">
        <f t="shared" si="4"/>
        <v>1264.92</v>
      </c>
      <c r="L1358" t="str">
        <f t="shared" si="5"/>
        <v>31.623</v>
      </c>
      <c r="M1358" t="str">
        <f t="shared" si="6"/>
        <v>415</v>
      </c>
      <c r="N1358" t="s">
        <v>182</v>
      </c>
      <c r="O1358" t="s">
        <v>2408</v>
      </c>
      <c r="P1358" t="s">
        <v>2409</v>
      </c>
    </row>
    <row r="1359" ht="15.75" customHeight="1">
      <c r="A1359">
        <v>1366.0</v>
      </c>
      <c r="B1359">
        <v>135.0</v>
      </c>
      <c r="C1359">
        <v>86.0</v>
      </c>
      <c r="D1359">
        <v>5.0</v>
      </c>
      <c r="E1359" t="str">
        <f t="shared" si="1"/>
        <v>2.9</v>
      </c>
      <c r="F1359">
        <v>2.0</v>
      </c>
      <c r="G1359">
        <v>3.0</v>
      </c>
      <c r="H1359" t="str">
        <f t="shared" si="2"/>
        <v>6</v>
      </c>
      <c r="I1359">
        <v>84.0</v>
      </c>
      <c r="J1359" t="str">
        <f t="shared" si="3"/>
        <v>266.7</v>
      </c>
      <c r="K1359" t="str">
        <f t="shared" si="4"/>
        <v>792.099</v>
      </c>
      <c r="L1359" t="str">
        <f t="shared" si="5"/>
        <v>13.20165</v>
      </c>
      <c r="M1359" t="str">
        <f t="shared" si="6"/>
        <v>297</v>
      </c>
      <c r="N1359" t="s">
        <v>187</v>
      </c>
      <c r="O1359" t="s">
        <v>2410</v>
      </c>
      <c r="P1359" t="s">
        <v>2411</v>
      </c>
    </row>
    <row r="1360" ht="15.75" customHeight="1">
      <c r="A1360">
        <v>1367.0</v>
      </c>
      <c r="B1360">
        <v>110.0</v>
      </c>
      <c r="C1360">
        <v>68.0</v>
      </c>
      <c r="D1360">
        <v>5.0</v>
      </c>
      <c r="E1360" t="str">
        <f t="shared" si="1"/>
        <v>3.4375</v>
      </c>
      <c r="F1360">
        <v>2.0</v>
      </c>
      <c r="G1360">
        <v>4.0</v>
      </c>
      <c r="H1360" t="str">
        <f t="shared" si="2"/>
        <v>8</v>
      </c>
      <c r="I1360">
        <v>90.0</v>
      </c>
      <c r="J1360" t="str">
        <f t="shared" si="3"/>
        <v>285.75</v>
      </c>
      <c r="K1360" t="str">
        <f t="shared" si="4"/>
        <v>705.8025</v>
      </c>
      <c r="L1360" t="str">
        <f t="shared" si="5"/>
        <v>8.82253125</v>
      </c>
      <c r="M1360" t="str">
        <f t="shared" si="6"/>
        <v>247</v>
      </c>
      <c r="N1360" t="s">
        <v>187</v>
      </c>
      <c r="O1360" t="s">
        <v>2412</v>
      </c>
      <c r="P1360" t="s">
        <v>2413</v>
      </c>
    </row>
    <row r="1361" ht="15.75" customHeight="1">
      <c r="A1361">
        <v>1368.0</v>
      </c>
      <c r="B1361">
        <v>129.0</v>
      </c>
      <c r="C1361">
        <v>82.7</v>
      </c>
      <c r="D1361">
        <v>5.0</v>
      </c>
      <c r="E1361" t="str">
        <f t="shared" si="1"/>
        <v>4.6125</v>
      </c>
      <c r="F1361">
        <v>2.0</v>
      </c>
      <c r="G1361">
        <v>4.0</v>
      </c>
      <c r="H1361" t="str">
        <f t="shared" si="2"/>
        <v>8</v>
      </c>
      <c r="I1361">
        <v>110.0</v>
      </c>
      <c r="J1361" t="str">
        <f t="shared" si="3"/>
        <v>349.25</v>
      </c>
      <c r="K1361" t="str">
        <f t="shared" si="4"/>
        <v>995.3625</v>
      </c>
      <c r="L1361" t="str">
        <f t="shared" si="5"/>
        <v>12.44203125</v>
      </c>
      <c r="M1361" t="str">
        <f t="shared" si="6"/>
        <v>285</v>
      </c>
      <c r="N1361" t="s">
        <v>187</v>
      </c>
      <c r="O1361" t="s">
        <v>2414</v>
      </c>
      <c r="P1361" t="s">
        <v>2415</v>
      </c>
    </row>
    <row r="1362" ht="15.75" customHeight="1">
      <c r="A1362">
        <v>1369.0</v>
      </c>
      <c r="B1362">
        <v>160.5</v>
      </c>
      <c r="C1362">
        <v>130.8</v>
      </c>
      <c r="D1362">
        <v>5.0</v>
      </c>
      <c r="E1362" t="str">
        <f t="shared" si="1"/>
        <v>5.725</v>
      </c>
      <c r="F1362">
        <v>2.0</v>
      </c>
      <c r="G1362">
        <v>2.0</v>
      </c>
      <c r="H1362" t="str">
        <f t="shared" si="2"/>
        <v>4</v>
      </c>
      <c r="I1362">
        <v>86.0</v>
      </c>
      <c r="J1362" t="str">
        <f t="shared" si="3"/>
        <v>273.05</v>
      </c>
      <c r="K1362" t="str">
        <f t="shared" si="4"/>
        <v>950.214</v>
      </c>
      <c r="L1362" t="str">
        <f t="shared" si="5"/>
        <v>23.75535</v>
      </c>
      <c r="M1362" t="str">
        <f t="shared" si="6"/>
        <v>348</v>
      </c>
      <c r="N1362" t="s">
        <v>187</v>
      </c>
      <c r="O1362" t="s">
        <v>2416</v>
      </c>
      <c r="P1362" t="s">
        <v>2417</v>
      </c>
    </row>
    <row r="1363" ht="15.75" customHeight="1">
      <c r="A1363">
        <v>1370.0</v>
      </c>
      <c r="B1363">
        <v>120.0</v>
      </c>
      <c r="C1363">
        <v>285.0</v>
      </c>
      <c r="D1363">
        <v>3.0</v>
      </c>
      <c r="E1363" t="str">
        <f t="shared" si="1"/>
        <v>19.8</v>
      </c>
      <c r="F1363">
        <v>2.0</v>
      </c>
      <c r="G1363">
        <v>1.0</v>
      </c>
      <c r="H1363" t="str">
        <f t="shared" si="2"/>
        <v>2</v>
      </c>
      <c r="I1363">
        <v>96.0</v>
      </c>
      <c r="J1363" t="str">
        <f t="shared" si="3"/>
        <v>304.8</v>
      </c>
      <c r="K1363" t="str">
        <f t="shared" si="4"/>
        <v>801.624</v>
      </c>
      <c r="L1363" t="str">
        <f t="shared" si="5"/>
        <v>40.0812</v>
      </c>
      <c r="M1363" t="str">
        <f t="shared" si="6"/>
        <v>263</v>
      </c>
      <c r="N1363" t="s">
        <v>182</v>
      </c>
      <c r="O1363" t="s">
        <v>2418</v>
      </c>
      <c r="P1363" t="s">
        <v>2419</v>
      </c>
    </row>
    <row r="1364" ht="15.75" customHeight="1">
      <c r="A1364">
        <v>1371.0</v>
      </c>
      <c r="B1364">
        <v>15.0</v>
      </c>
      <c r="C1364">
        <v>45.0</v>
      </c>
      <c r="D1364">
        <v>3.0</v>
      </c>
      <c r="E1364" t="str">
        <f t="shared" si="1"/>
        <v>2.625</v>
      </c>
      <c r="F1364">
        <v>12.0</v>
      </c>
      <c r="G1364">
        <v>6.0</v>
      </c>
      <c r="H1364" t="str">
        <f t="shared" si="2"/>
        <v>72</v>
      </c>
      <c r="I1364">
        <v>90.0</v>
      </c>
      <c r="J1364" t="str">
        <f t="shared" si="3"/>
        <v>285.75</v>
      </c>
      <c r="K1364" t="str">
        <f t="shared" si="4"/>
        <v>665.7975</v>
      </c>
      <c r="L1364" t="str">
        <f t="shared" si="5"/>
        <v>0.92471875</v>
      </c>
      <c r="M1364" t="str">
        <f t="shared" si="6"/>
        <v>233</v>
      </c>
      <c r="N1364" t="s">
        <v>187</v>
      </c>
      <c r="O1364" t="s">
        <v>2420</v>
      </c>
      <c r="P1364" s="126" t="s">
        <v>2421</v>
      </c>
    </row>
    <row r="1365" ht="15.75" customHeight="1">
      <c r="A1365">
        <v>1372.0</v>
      </c>
      <c r="B1365">
        <v>60.0</v>
      </c>
      <c r="C1365">
        <v>120.0</v>
      </c>
      <c r="D1365">
        <v>5.0</v>
      </c>
      <c r="E1365" t="str">
        <f t="shared" si="1"/>
        <v>7</v>
      </c>
      <c r="F1365">
        <v>3.0</v>
      </c>
      <c r="G1365">
        <v>3.0</v>
      </c>
      <c r="H1365" t="str">
        <f t="shared" si="2"/>
        <v>9</v>
      </c>
      <c r="I1365">
        <v>120.0</v>
      </c>
      <c r="J1365" t="str">
        <f t="shared" si="3"/>
        <v>381</v>
      </c>
      <c r="K1365" t="str">
        <f t="shared" si="4"/>
        <v>807.72</v>
      </c>
      <c r="L1365" t="str">
        <f t="shared" si="5"/>
        <v>8.974666667</v>
      </c>
      <c r="M1365" t="str">
        <f t="shared" si="6"/>
        <v>212</v>
      </c>
      <c r="N1365" t="s">
        <v>187</v>
      </c>
      <c r="O1365" t="s">
        <v>2422</v>
      </c>
      <c r="P1365" s="126" t="s">
        <v>2423</v>
      </c>
    </row>
    <row r="1366" ht="15.75" customHeight="1">
      <c r="A1366">
        <v>1373.0</v>
      </c>
      <c r="B1366">
        <v>60.0</v>
      </c>
      <c r="C1366">
        <v>120.0</v>
      </c>
      <c r="D1366">
        <v>5.0</v>
      </c>
      <c r="E1366" t="str">
        <f t="shared" si="1"/>
        <v>7</v>
      </c>
      <c r="F1366">
        <v>6.0</v>
      </c>
      <c r="G1366">
        <v>3.0</v>
      </c>
      <c r="H1366" t="str">
        <f t="shared" si="2"/>
        <v>18</v>
      </c>
      <c r="I1366">
        <v>120.0</v>
      </c>
      <c r="J1366" t="str">
        <f t="shared" si="3"/>
        <v>381</v>
      </c>
      <c r="K1366" t="str">
        <f t="shared" si="4"/>
        <v>1550.67</v>
      </c>
      <c r="L1366" t="str">
        <f t="shared" si="5"/>
        <v>8.614833333</v>
      </c>
      <c r="M1366" t="str">
        <f t="shared" si="6"/>
        <v>407</v>
      </c>
      <c r="N1366" t="s">
        <v>187</v>
      </c>
      <c r="O1366" t="s">
        <v>2424</v>
      </c>
      <c r="P1366" s="126" t="s">
        <v>2425</v>
      </c>
    </row>
    <row r="1367" ht="15.75" customHeight="1">
      <c r="A1367">
        <v>1374.0</v>
      </c>
      <c r="B1367">
        <v>140.0</v>
      </c>
      <c r="C1367">
        <v>105.0</v>
      </c>
      <c r="D1367">
        <v>5.0</v>
      </c>
      <c r="E1367" t="str">
        <f t="shared" si="1"/>
        <v>6.125</v>
      </c>
      <c r="F1367">
        <v>2.0</v>
      </c>
      <c r="G1367">
        <v>3.0</v>
      </c>
      <c r="H1367" t="str">
        <f t="shared" si="2"/>
        <v>6</v>
      </c>
      <c r="I1367">
        <v>105.0</v>
      </c>
      <c r="J1367" t="str">
        <f t="shared" si="3"/>
        <v>333.375</v>
      </c>
      <c r="K1367" t="str">
        <f t="shared" si="4"/>
        <v>1023.46125</v>
      </c>
      <c r="L1367" t="str">
        <f t="shared" si="5"/>
        <v>17.0576875</v>
      </c>
      <c r="M1367" t="str">
        <f t="shared" si="6"/>
        <v>307</v>
      </c>
      <c r="N1367" t="s">
        <v>187</v>
      </c>
      <c r="O1367" t="s">
        <v>2426</v>
      </c>
      <c r="P1367" t="s">
        <v>2427</v>
      </c>
    </row>
    <row r="1368" ht="15.75" customHeight="1">
      <c r="A1368">
        <v>1375.0</v>
      </c>
      <c r="B1368">
        <v>70.0</v>
      </c>
      <c r="C1368">
        <v>110.0</v>
      </c>
      <c r="D1368">
        <v>3.0</v>
      </c>
      <c r="E1368" t="str">
        <f t="shared" si="1"/>
        <v>4.3</v>
      </c>
      <c r="F1368">
        <v>4.0</v>
      </c>
      <c r="G1368">
        <v>3.0</v>
      </c>
      <c r="H1368" t="str">
        <f t="shared" si="2"/>
        <v>12</v>
      </c>
      <c r="I1368">
        <v>108.0</v>
      </c>
      <c r="J1368" t="str">
        <f t="shared" si="3"/>
        <v>342.9</v>
      </c>
      <c r="K1368" t="str">
        <f t="shared" si="4"/>
        <v>1059.561</v>
      </c>
      <c r="L1368" t="str">
        <f t="shared" si="5"/>
        <v>8.829675</v>
      </c>
      <c r="M1368" t="str">
        <f t="shared" si="6"/>
        <v>309</v>
      </c>
      <c r="N1368" t="s">
        <v>182</v>
      </c>
      <c r="O1368" t="s">
        <v>2428</v>
      </c>
      <c r="P1368" s="126" t="s">
        <v>2429</v>
      </c>
    </row>
    <row r="1369" ht="15.75" customHeight="1">
      <c r="A1369">
        <v>1376.0</v>
      </c>
      <c r="B1369">
        <v>120.0</v>
      </c>
      <c r="C1369">
        <v>60.0</v>
      </c>
      <c r="D1369">
        <v>3.0</v>
      </c>
      <c r="E1369" t="str">
        <f t="shared" si="1"/>
        <v>4.77</v>
      </c>
      <c r="F1369">
        <v>2.0</v>
      </c>
      <c r="G1369">
        <v>5.0</v>
      </c>
      <c r="H1369" t="str">
        <f t="shared" si="2"/>
        <v>10</v>
      </c>
      <c r="I1369">
        <v>102.0</v>
      </c>
      <c r="J1369" t="str">
        <f t="shared" si="3"/>
        <v>323.85</v>
      </c>
      <c r="K1369" t="str">
        <f t="shared" si="4"/>
        <v>851.7255</v>
      </c>
      <c r="L1369" t="str">
        <f t="shared" si="5"/>
        <v>8.517255</v>
      </c>
      <c r="M1369" t="str">
        <f t="shared" si="6"/>
        <v>263</v>
      </c>
      <c r="N1369" t="s">
        <v>187</v>
      </c>
      <c r="O1369" t="s">
        <v>2430</v>
      </c>
      <c r="P1369" s="126" t="s">
        <v>2431</v>
      </c>
    </row>
    <row r="1370" ht="15.75" customHeight="1">
      <c r="A1370">
        <v>1377.0</v>
      </c>
      <c r="B1370">
        <v>180.0</v>
      </c>
      <c r="C1370">
        <v>140.0</v>
      </c>
      <c r="D1370">
        <v>3.0</v>
      </c>
      <c r="E1370" t="str">
        <f t="shared" si="1"/>
        <v>2.875</v>
      </c>
      <c r="F1370">
        <v>2.0</v>
      </c>
      <c r="G1370">
        <v>3.0</v>
      </c>
      <c r="H1370" t="str">
        <f t="shared" si="2"/>
        <v>6</v>
      </c>
      <c r="I1370">
        <v>135.0</v>
      </c>
      <c r="J1370" t="str">
        <f t="shared" si="3"/>
        <v>428.625</v>
      </c>
      <c r="K1370" t="str">
        <f t="shared" si="4"/>
        <v>1641.63375</v>
      </c>
      <c r="L1370" t="str">
        <f t="shared" si="5"/>
        <v>27.3605625</v>
      </c>
      <c r="M1370" t="str">
        <f t="shared" si="6"/>
        <v>383</v>
      </c>
      <c r="N1370" t="s">
        <v>187</v>
      </c>
      <c r="O1370" t="s">
        <v>2432</v>
      </c>
    </row>
    <row r="1371" ht="15.75" customHeight="1">
      <c r="A1371">
        <v>1378.0</v>
      </c>
      <c r="B1371">
        <v>195.0</v>
      </c>
      <c r="C1371">
        <v>170.0</v>
      </c>
      <c r="D1371">
        <v>3.0</v>
      </c>
      <c r="E1371" t="str">
        <f t="shared" si="1"/>
        <v>4.625</v>
      </c>
      <c r="F1371">
        <v>2.0</v>
      </c>
      <c r="G1371">
        <v>3.0</v>
      </c>
      <c r="H1371" t="str">
        <f t="shared" si="2"/>
        <v>6</v>
      </c>
      <c r="I1371">
        <v>165.0</v>
      </c>
      <c r="J1371" t="str">
        <f t="shared" si="3"/>
        <v>523.875</v>
      </c>
      <c r="K1371" t="str">
        <f t="shared" si="4"/>
        <v>2163.60375</v>
      </c>
      <c r="L1371" t="str">
        <f t="shared" si="5"/>
        <v>36.0600625</v>
      </c>
      <c r="M1371" t="str">
        <f t="shared" si="6"/>
        <v>413</v>
      </c>
      <c r="N1371" t="s">
        <v>187</v>
      </c>
      <c r="O1371" t="s">
        <v>2433</v>
      </c>
    </row>
    <row r="1372" ht="15.75" customHeight="1">
      <c r="A1372">
        <v>1379.0</v>
      </c>
      <c r="B1372">
        <v>175.0</v>
      </c>
      <c r="C1372">
        <v>130.0</v>
      </c>
      <c r="D1372">
        <v>3.0</v>
      </c>
      <c r="E1372" t="str">
        <f t="shared" si="1"/>
        <v>3.35</v>
      </c>
      <c r="F1372">
        <v>2.0</v>
      </c>
      <c r="G1372">
        <v>3.0</v>
      </c>
      <c r="H1372" t="str">
        <f t="shared" si="2"/>
        <v>6</v>
      </c>
      <c r="I1372">
        <v>126.0</v>
      </c>
      <c r="J1372" t="str">
        <f t="shared" si="3"/>
        <v>400.05</v>
      </c>
      <c r="K1372" t="str">
        <f t="shared" si="4"/>
        <v>1492.1865</v>
      </c>
      <c r="L1372" t="str">
        <f t="shared" si="5"/>
        <v>24.869775</v>
      </c>
      <c r="M1372" t="str">
        <f t="shared" si="6"/>
        <v>373</v>
      </c>
      <c r="N1372" t="s">
        <v>187</v>
      </c>
      <c r="O1372" t="s">
        <v>2434</v>
      </c>
    </row>
    <row r="1373" ht="15.75" customHeight="1">
      <c r="A1373">
        <v>1380.0</v>
      </c>
      <c r="B1373">
        <v>54.0</v>
      </c>
      <c r="C1373">
        <v>89.0</v>
      </c>
      <c r="D1373">
        <v>3.0</v>
      </c>
      <c r="E1373" t="str">
        <f t="shared" si="1"/>
        <v>4.133333333</v>
      </c>
      <c r="F1373">
        <v>6.0</v>
      </c>
      <c r="G1373">
        <v>3.0</v>
      </c>
      <c r="H1373" t="str">
        <f t="shared" si="2"/>
        <v>18</v>
      </c>
      <c r="I1373">
        <v>88.0</v>
      </c>
      <c r="J1373" t="str">
        <f t="shared" si="3"/>
        <v>279.4</v>
      </c>
      <c r="K1373" t="str">
        <f t="shared" si="4"/>
        <v>1003.046</v>
      </c>
      <c r="L1373" t="str">
        <f t="shared" si="5"/>
        <v>5.572477778</v>
      </c>
      <c r="M1373" t="str">
        <f t="shared" si="6"/>
        <v>359</v>
      </c>
      <c r="N1373" t="s">
        <v>187</v>
      </c>
      <c r="O1373" t="s">
        <v>2435</v>
      </c>
    </row>
    <row r="1374" ht="15.75" customHeight="1">
      <c r="A1374">
        <v>1381.0</v>
      </c>
      <c r="B1374">
        <v>50.0</v>
      </c>
      <c r="C1374">
        <v>50.0</v>
      </c>
      <c r="D1374">
        <v>3.0</v>
      </c>
      <c r="E1374" t="str">
        <f t="shared" si="1"/>
        <v>3.34</v>
      </c>
      <c r="F1374">
        <v>6.0</v>
      </c>
      <c r="G1374">
        <v>5.0</v>
      </c>
      <c r="H1374" t="str">
        <f t="shared" si="2"/>
        <v>30</v>
      </c>
      <c r="I1374">
        <v>84.0</v>
      </c>
      <c r="J1374" t="str">
        <f t="shared" si="3"/>
        <v>266.7</v>
      </c>
      <c r="K1374" t="str">
        <f t="shared" si="4"/>
        <v>893.445</v>
      </c>
      <c r="L1374" t="str">
        <f t="shared" si="5"/>
        <v>2.97815</v>
      </c>
      <c r="M1374" t="str">
        <f t="shared" si="6"/>
        <v>335</v>
      </c>
      <c r="N1374" t="s">
        <v>182</v>
      </c>
      <c r="O1374" t="s">
        <v>2436</v>
      </c>
      <c r="P1374" t="s">
        <v>2437</v>
      </c>
    </row>
    <row r="1375" ht="15.75" customHeight="1">
      <c r="A1375">
        <v>1382.0</v>
      </c>
      <c r="B1375">
        <v>75.0</v>
      </c>
      <c r="C1375">
        <v>43.0</v>
      </c>
      <c r="D1375">
        <v>3.0</v>
      </c>
      <c r="E1375" t="str">
        <f t="shared" si="1"/>
        <v>2.4025</v>
      </c>
      <c r="F1375">
        <v>4.0</v>
      </c>
      <c r="G1375">
        <v>10.0</v>
      </c>
      <c r="H1375" t="str">
        <f t="shared" si="2"/>
        <v>40</v>
      </c>
      <c r="I1375">
        <v>143.0</v>
      </c>
      <c r="J1375" t="str">
        <f t="shared" si="3"/>
        <v>454.025</v>
      </c>
      <c r="K1375" t="str">
        <f t="shared" si="4"/>
        <v>1493.74225</v>
      </c>
      <c r="L1375" t="str">
        <f t="shared" si="5"/>
        <v>3.734355625</v>
      </c>
      <c r="M1375" t="str">
        <f t="shared" si="6"/>
        <v>329</v>
      </c>
      <c r="N1375" t="s">
        <v>187</v>
      </c>
      <c r="O1375" t="s">
        <v>2438</v>
      </c>
      <c r="P1375" s="126" t="s">
        <v>2439</v>
      </c>
    </row>
    <row r="1376" ht="15.75" customHeight="1">
      <c r="A1376">
        <v>1383.0</v>
      </c>
      <c r="B1376">
        <v>160.0</v>
      </c>
      <c r="C1376">
        <v>55.0</v>
      </c>
      <c r="D1376">
        <v>3.0</v>
      </c>
      <c r="E1376" t="str">
        <f t="shared" si="1"/>
        <v>4.871428571</v>
      </c>
      <c r="F1376">
        <v>2.0</v>
      </c>
      <c r="G1376">
        <v>7.0</v>
      </c>
      <c r="H1376" t="str">
        <f t="shared" si="2"/>
        <v>14</v>
      </c>
      <c r="I1376">
        <v>132.0</v>
      </c>
      <c r="J1376" t="str">
        <f t="shared" si="3"/>
        <v>419.1</v>
      </c>
      <c r="K1376" t="str">
        <f t="shared" si="4"/>
        <v>1437.513</v>
      </c>
      <c r="L1376" t="str">
        <f t="shared" si="5"/>
        <v>10.26795</v>
      </c>
      <c r="M1376" t="str">
        <f t="shared" si="6"/>
        <v>343</v>
      </c>
      <c r="N1376" t="s">
        <v>187</v>
      </c>
      <c r="O1376" t="s">
        <v>2440</v>
      </c>
    </row>
    <row r="1377" ht="15.75" customHeight="1">
      <c r="A1377">
        <v>1384.0</v>
      </c>
      <c r="B1377">
        <v>30.0</v>
      </c>
      <c r="C1377">
        <v>30.0</v>
      </c>
      <c r="D1377">
        <v>3.0</v>
      </c>
      <c r="E1377" t="str">
        <f t="shared" si="1"/>
        <v>3.3375</v>
      </c>
      <c r="F1377">
        <v>10.0</v>
      </c>
      <c r="G1377">
        <v>8.0</v>
      </c>
      <c r="H1377" t="str">
        <f t="shared" si="2"/>
        <v>80</v>
      </c>
      <c r="I1377">
        <v>84.0</v>
      </c>
      <c r="J1377" t="str">
        <f t="shared" si="3"/>
        <v>266.7</v>
      </c>
      <c r="K1377" t="str">
        <f t="shared" si="4"/>
        <v>925.449</v>
      </c>
      <c r="L1377" t="str">
        <f t="shared" si="5"/>
        <v>1.15681125</v>
      </c>
      <c r="M1377" t="str">
        <f t="shared" si="6"/>
        <v>347</v>
      </c>
      <c r="N1377" t="s">
        <v>187</v>
      </c>
      <c r="O1377" t="s">
        <v>2441</v>
      </c>
      <c r="P1377" t="s">
        <v>2442</v>
      </c>
    </row>
    <row r="1378" ht="15.75" customHeight="1">
      <c r="A1378">
        <v>1385.0</v>
      </c>
      <c r="B1378">
        <v>34.0</v>
      </c>
      <c r="C1378">
        <v>34.0</v>
      </c>
      <c r="D1378">
        <v>3.0</v>
      </c>
      <c r="E1378" t="str">
        <f t="shared" si="1"/>
        <v>3.041666667</v>
      </c>
      <c r="F1378">
        <v>10.0</v>
      </c>
      <c r="G1378">
        <v>9.0</v>
      </c>
      <c r="H1378" t="str">
        <f t="shared" si="2"/>
        <v>90</v>
      </c>
      <c r="I1378">
        <v>105.0</v>
      </c>
      <c r="J1378" t="str">
        <f t="shared" si="3"/>
        <v>333.375</v>
      </c>
      <c r="K1378" t="str">
        <f t="shared" si="4"/>
        <v>1290.16125</v>
      </c>
      <c r="L1378" t="str">
        <f t="shared" si="5"/>
        <v>1.4335125</v>
      </c>
      <c r="M1378" t="str">
        <f t="shared" si="6"/>
        <v>387</v>
      </c>
      <c r="N1378" t="s">
        <v>187</v>
      </c>
      <c r="O1378" t="s">
        <v>2443</v>
      </c>
      <c r="P1378" t="s">
        <v>2444</v>
      </c>
    </row>
    <row r="1379" ht="15.75" customHeight="1">
      <c r="A1379">
        <v>1386.0</v>
      </c>
      <c r="B1379">
        <v>44.0</v>
      </c>
      <c r="C1379">
        <v>44.0</v>
      </c>
      <c r="D1379">
        <v>3.0</v>
      </c>
      <c r="E1379" t="str">
        <f t="shared" si="1"/>
        <v>3.625</v>
      </c>
      <c r="F1379">
        <v>8.0</v>
      </c>
      <c r="G1379">
        <v>7.0</v>
      </c>
      <c r="H1379" t="str">
        <f t="shared" si="2"/>
        <v>56</v>
      </c>
      <c r="I1379">
        <v>105.0</v>
      </c>
      <c r="J1379" t="str">
        <f t="shared" si="3"/>
        <v>333.375</v>
      </c>
      <c r="K1379" t="str">
        <f t="shared" si="4"/>
        <v>1310.16375</v>
      </c>
      <c r="L1379" t="str">
        <f t="shared" si="5"/>
        <v>2.339578125</v>
      </c>
      <c r="M1379" t="str">
        <f t="shared" si="6"/>
        <v>393</v>
      </c>
      <c r="N1379" t="s">
        <v>187</v>
      </c>
      <c r="O1379" t="s">
        <v>2445</v>
      </c>
      <c r="P1379" t="s">
        <v>2446</v>
      </c>
    </row>
    <row r="1380" ht="15.75" customHeight="1">
      <c r="A1380">
        <v>1387.0</v>
      </c>
      <c r="B1380">
        <v>65.0</v>
      </c>
      <c r="C1380">
        <v>135.0</v>
      </c>
      <c r="D1380">
        <v>3.0</v>
      </c>
      <c r="E1380" t="str">
        <f t="shared" si="1"/>
        <v>4.7</v>
      </c>
      <c r="F1380">
        <v>5.0</v>
      </c>
      <c r="G1380">
        <v>2.0</v>
      </c>
      <c r="H1380" t="str">
        <f t="shared" si="2"/>
        <v>10</v>
      </c>
      <c r="I1380">
        <v>88.0</v>
      </c>
      <c r="J1380" t="str">
        <f t="shared" si="3"/>
        <v>279.4</v>
      </c>
      <c r="K1380" t="str">
        <f t="shared" si="4"/>
        <v>997.458</v>
      </c>
      <c r="L1380" t="str">
        <f t="shared" si="5"/>
        <v>9.97458</v>
      </c>
      <c r="M1380" t="str">
        <f t="shared" si="6"/>
        <v>357</v>
      </c>
      <c r="N1380" t="s">
        <v>187</v>
      </c>
      <c r="O1380" t="s">
        <v>2447</v>
      </c>
    </row>
    <row r="1381" ht="15.75" customHeight="1">
      <c r="A1381">
        <v>1388.0</v>
      </c>
      <c r="B1381">
        <v>111.0</v>
      </c>
      <c r="C1381">
        <v>197.0</v>
      </c>
      <c r="D1381">
        <v>3.0</v>
      </c>
      <c r="E1381" t="str">
        <f t="shared" si="1"/>
        <v>3.025</v>
      </c>
      <c r="F1381">
        <v>2.0</v>
      </c>
      <c r="G1381">
        <v>2.0</v>
      </c>
      <c r="H1381" t="str">
        <f t="shared" si="2"/>
        <v>4</v>
      </c>
      <c r="I1381">
        <v>126.0</v>
      </c>
      <c r="J1381" t="str">
        <f t="shared" si="3"/>
        <v>400.05</v>
      </c>
      <c r="K1381" t="str">
        <f t="shared" si="4"/>
        <v>980.1225</v>
      </c>
      <c r="L1381" t="str">
        <f t="shared" si="5"/>
        <v>24.5030625</v>
      </c>
      <c r="M1381" t="str">
        <f t="shared" si="6"/>
        <v>245</v>
      </c>
      <c r="N1381" t="s">
        <v>187</v>
      </c>
      <c r="O1381" t="s">
        <v>2448</v>
      </c>
    </row>
    <row r="1382" ht="15.75" customHeight="1">
      <c r="A1382">
        <v>1389.0</v>
      </c>
      <c r="B1382">
        <v>150.0</v>
      </c>
      <c r="C1382">
        <v>85.0</v>
      </c>
      <c r="D1382">
        <v>5.0</v>
      </c>
      <c r="E1382" t="str">
        <f t="shared" si="1"/>
        <v>3.9</v>
      </c>
      <c r="F1382">
        <v>2.0</v>
      </c>
      <c r="G1382">
        <v>3.0</v>
      </c>
      <c r="H1382" t="str">
        <f t="shared" si="2"/>
        <v>6</v>
      </c>
      <c r="I1382">
        <v>84.0</v>
      </c>
      <c r="J1382" t="str">
        <f t="shared" si="3"/>
        <v>266.7</v>
      </c>
      <c r="K1382" t="str">
        <f t="shared" si="4"/>
        <v>872.109</v>
      </c>
      <c r="L1382" t="str">
        <f t="shared" si="5"/>
        <v>14.53515</v>
      </c>
      <c r="M1382" t="str">
        <f t="shared" si="6"/>
        <v>327</v>
      </c>
      <c r="N1382" t="s">
        <v>187</v>
      </c>
      <c r="O1382" t="s">
        <v>2449</v>
      </c>
      <c r="P1382" s="126" t="s">
        <v>2450</v>
      </c>
    </row>
    <row r="1383" ht="15.75" customHeight="1">
      <c r="A1383">
        <v>1390.0</v>
      </c>
      <c r="B1383">
        <v>188.0</v>
      </c>
      <c r="C1383">
        <v>126.0</v>
      </c>
      <c r="D1383">
        <v>5.0</v>
      </c>
      <c r="E1383" t="str">
        <f t="shared" si="1"/>
        <v>4.96875</v>
      </c>
      <c r="F1383">
        <v>2.0</v>
      </c>
      <c r="G1383">
        <v>4.0</v>
      </c>
      <c r="H1383" t="str">
        <f t="shared" si="2"/>
        <v>8</v>
      </c>
      <c r="I1383">
        <v>165.0</v>
      </c>
      <c r="J1383" t="str">
        <f t="shared" si="3"/>
        <v>523.875</v>
      </c>
      <c r="K1383" t="str">
        <f t="shared" si="4"/>
        <v>2111.21625</v>
      </c>
      <c r="L1383" t="str">
        <f t="shared" si="5"/>
        <v>26.39020313</v>
      </c>
      <c r="M1383" t="str">
        <f t="shared" si="6"/>
        <v>403</v>
      </c>
      <c r="N1383" t="s">
        <v>187</v>
      </c>
      <c r="O1383" t="s">
        <v>2451</v>
      </c>
      <c r="P1383" s="126" t="s">
        <v>2452</v>
      </c>
    </row>
    <row r="1384" ht="15.75" customHeight="1">
      <c r="A1384">
        <v>1391.0</v>
      </c>
      <c r="B1384">
        <v>140.0</v>
      </c>
      <c r="C1384">
        <v>150.0</v>
      </c>
      <c r="D1384">
        <v>3.0</v>
      </c>
      <c r="E1384" t="str">
        <f t="shared" si="1"/>
        <v>5.575</v>
      </c>
      <c r="F1384">
        <v>2.0</v>
      </c>
      <c r="G1384">
        <v>2.0</v>
      </c>
      <c r="H1384" t="str">
        <f t="shared" si="2"/>
        <v>4</v>
      </c>
      <c r="I1384">
        <v>98.0</v>
      </c>
      <c r="J1384" t="str">
        <f t="shared" si="3"/>
        <v>311.15</v>
      </c>
      <c r="K1384" t="str">
        <f t="shared" si="4"/>
        <v>942.7845</v>
      </c>
      <c r="L1384" t="str">
        <f t="shared" si="5"/>
        <v>23.5696125</v>
      </c>
      <c r="M1384" t="str">
        <f t="shared" si="6"/>
        <v>303</v>
      </c>
      <c r="N1384" t="s">
        <v>187</v>
      </c>
      <c r="O1384" t="s">
        <v>2453</v>
      </c>
    </row>
    <row r="1385" ht="15.75" customHeight="1">
      <c r="A1385">
        <v>1392.0</v>
      </c>
      <c r="B1385">
        <v>100.0</v>
      </c>
      <c r="C1385">
        <v>60.0</v>
      </c>
      <c r="D1385">
        <v>3.0</v>
      </c>
      <c r="E1385" t="str">
        <f t="shared" si="1"/>
        <v>3.5</v>
      </c>
      <c r="F1385">
        <v>2.0</v>
      </c>
      <c r="G1385">
        <v>6.0</v>
      </c>
      <c r="H1385" t="str">
        <f t="shared" si="2"/>
        <v>12</v>
      </c>
      <c r="I1385">
        <v>120.0</v>
      </c>
      <c r="J1385" t="str">
        <f t="shared" si="3"/>
        <v>381</v>
      </c>
      <c r="K1385" t="str">
        <f t="shared" si="4"/>
        <v>849.63</v>
      </c>
      <c r="L1385" t="str">
        <f t="shared" si="5"/>
        <v>7.08025</v>
      </c>
      <c r="M1385" t="str">
        <f t="shared" si="6"/>
        <v>223</v>
      </c>
      <c r="N1385" t="s">
        <v>187</v>
      </c>
      <c r="O1385" t="s">
        <v>2454</v>
      </c>
      <c r="P1385" s="126" t="s">
        <v>2455</v>
      </c>
    </row>
    <row r="1386" ht="15.75" customHeight="1">
      <c r="A1386">
        <v>1393.0</v>
      </c>
      <c r="B1386">
        <v>85.0</v>
      </c>
      <c r="C1386">
        <v>45.0</v>
      </c>
      <c r="D1386">
        <v>4.0</v>
      </c>
      <c r="E1386" t="str">
        <f t="shared" si="1"/>
        <v>3.985714286</v>
      </c>
      <c r="F1386">
        <v>2.0</v>
      </c>
      <c r="G1386">
        <v>7.0</v>
      </c>
      <c r="H1386" t="str">
        <f t="shared" si="2"/>
        <v>14</v>
      </c>
      <c r="I1386">
        <v>108.0</v>
      </c>
      <c r="J1386" t="str">
        <f t="shared" si="3"/>
        <v>342.9</v>
      </c>
      <c r="K1386" t="str">
        <f t="shared" si="4"/>
        <v>668.655</v>
      </c>
      <c r="L1386" t="str">
        <f t="shared" si="5"/>
        <v>4.776107143</v>
      </c>
      <c r="M1386" t="str">
        <f t="shared" si="6"/>
        <v>195</v>
      </c>
      <c r="N1386" t="s">
        <v>187</v>
      </c>
      <c r="O1386" t="s">
        <v>2456</v>
      </c>
      <c r="P1386" s="126" t="s">
        <v>2457</v>
      </c>
    </row>
    <row r="1387" ht="15.75" customHeight="1">
      <c r="A1387">
        <v>1394.0</v>
      </c>
      <c r="B1387">
        <v>90.0</v>
      </c>
      <c r="C1387">
        <v>30.0</v>
      </c>
      <c r="D1387">
        <v>3.0</v>
      </c>
      <c r="E1387" t="str">
        <f t="shared" si="1"/>
        <v>3.3375</v>
      </c>
      <c r="F1387">
        <v>2.0</v>
      </c>
      <c r="G1387">
        <v>10.0</v>
      </c>
      <c r="H1387" t="str">
        <f t="shared" si="2"/>
        <v>20</v>
      </c>
      <c r="I1387">
        <v>105.0</v>
      </c>
      <c r="J1387" t="str">
        <f t="shared" si="3"/>
        <v>333.375</v>
      </c>
      <c r="K1387" t="str">
        <f t="shared" si="4"/>
        <v>676.75125</v>
      </c>
      <c r="L1387" t="str">
        <f t="shared" si="5"/>
        <v>3.38375625</v>
      </c>
      <c r="M1387" t="str">
        <f t="shared" si="6"/>
        <v>203</v>
      </c>
      <c r="N1387" t="s">
        <v>187</v>
      </c>
      <c r="O1387" t="s">
        <v>2458</v>
      </c>
      <c r="P1387" s="126" t="s">
        <v>2459</v>
      </c>
    </row>
    <row r="1388" ht="15.75" customHeight="1">
      <c r="A1388">
        <v>1395.0</v>
      </c>
      <c r="B1388">
        <v>23.0</v>
      </c>
      <c r="C1388">
        <v>45.0</v>
      </c>
      <c r="D1388">
        <v>3.0</v>
      </c>
      <c r="E1388" t="str">
        <f t="shared" si="1"/>
        <v>12.15</v>
      </c>
      <c r="F1388">
        <v>12.0</v>
      </c>
      <c r="G1388">
        <v>6.0</v>
      </c>
      <c r="H1388" t="str">
        <f t="shared" si="2"/>
        <v>72</v>
      </c>
      <c r="I1388">
        <v>108.0</v>
      </c>
      <c r="J1388" t="str">
        <f t="shared" si="3"/>
        <v>342.9</v>
      </c>
      <c r="K1388" t="str">
        <f t="shared" si="4"/>
        <v>1128.141</v>
      </c>
      <c r="L1388" t="str">
        <f t="shared" si="5"/>
        <v>1.5668625</v>
      </c>
      <c r="M1388" t="str">
        <f t="shared" si="6"/>
        <v>329</v>
      </c>
      <c r="N1388" t="s">
        <v>182</v>
      </c>
      <c r="O1388" t="s">
        <v>2460</v>
      </c>
    </row>
    <row r="1389" ht="15.75" customHeight="1">
      <c r="A1389">
        <v>1396.0</v>
      </c>
      <c r="B1389">
        <v>12.5</v>
      </c>
      <c r="C1389">
        <v>28.0</v>
      </c>
      <c r="D1389">
        <v>3.0</v>
      </c>
      <c r="E1389" t="str">
        <f t="shared" si="1"/>
        <v>3.115</v>
      </c>
      <c r="F1389">
        <v>20.0</v>
      </c>
      <c r="G1389">
        <v>10.0</v>
      </c>
      <c r="H1389" t="str">
        <f t="shared" si="2"/>
        <v>200</v>
      </c>
      <c r="I1389">
        <v>98.0</v>
      </c>
      <c r="J1389" t="str">
        <f t="shared" si="3"/>
        <v>311.15</v>
      </c>
      <c r="K1389" t="str">
        <f t="shared" si="4"/>
        <v>1017.4605</v>
      </c>
      <c r="L1389" t="str">
        <f t="shared" si="5"/>
        <v>0.50873025</v>
      </c>
      <c r="M1389" t="str">
        <f t="shared" si="6"/>
        <v>327</v>
      </c>
      <c r="N1389" t="s">
        <v>182</v>
      </c>
      <c r="O1389" t="s">
        <v>2461</v>
      </c>
    </row>
    <row r="1390" ht="15.75" customHeight="1">
      <c r="A1390">
        <v>1397.0</v>
      </c>
      <c r="B1390">
        <v>63.0</v>
      </c>
      <c r="C1390">
        <v>63.0</v>
      </c>
      <c r="D1390">
        <v>3.0</v>
      </c>
      <c r="E1390">
        <v>3.68</v>
      </c>
      <c r="F1390">
        <v>4.0</v>
      </c>
      <c r="G1390">
        <v>4.0</v>
      </c>
      <c r="H1390" t="str">
        <f t="shared" si="2"/>
        <v>16</v>
      </c>
      <c r="I1390">
        <v>84.0</v>
      </c>
      <c r="J1390" t="str">
        <f t="shared" si="3"/>
        <v>266.7</v>
      </c>
      <c r="K1390" t="str">
        <f t="shared" si="4"/>
        <v>749.427</v>
      </c>
      <c r="L1390" t="str">
        <f t="shared" si="5"/>
        <v>4.68391875</v>
      </c>
      <c r="M1390" t="str">
        <f t="shared" si="6"/>
        <v>281</v>
      </c>
      <c r="N1390" t="s">
        <v>187</v>
      </c>
      <c r="O1390" t="s">
        <v>2462</v>
      </c>
      <c r="P1390" s="126" t="s">
        <v>2463</v>
      </c>
    </row>
    <row r="1391" ht="15.75" customHeight="1">
      <c r="A1391">
        <v>1398.0</v>
      </c>
      <c r="B1391">
        <v>144.0</v>
      </c>
      <c r="C1391">
        <v>86.0</v>
      </c>
      <c r="D1391">
        <v>3.0</v>
      </c>
      <c r="E1391">
        <v>2.9</v>
      </c>
      <c r="F1391">
        <v>2.0</v>
      </c>
      <c r="G1391">
        <v>3.0</v>
      </c>
      <c r="H1391" t="str">
        <f t="shared" si="2"/>
        <v>6</v>
      </c>
      <c r="I1391">
        <v>84.0</v>
      </c>
      <c r="J1391" t="str">
        <f t="shared" si="3"/>
        <v>266.7</v>
      </c>
      <c r="K1391" t="str">
        <f t="shared" si="4"/>
        <v>829.437</v>
      </c>
      <c r="L1391" t="str">
        <f t="shared" si="5"/>
        <v>13.82395</v>
      </c>
      <c r="M1391" t="str">
        <f t="shared" si="6"/>
        <v>311</v>
      </c>
      <c r="N1391" t="s">
        <v>187</v>
      </c>
      <c r="O1391" t="s">
        <v>2464</v>
      </c>
      <c r="P1391" t="s">
        <v>2465</v>
      </c>
    </row>
    <row r="1392" ht="15.75" customHeight="1">
      <c r="A1392">
        <v>1399.0</v>
      </c>
      <c r="B1392">
        <v>214.0</v>
      </c>
      <c r="C1392">
        <v>134.0</v>
      </c>
      <c r="D1392">
        <v>3.0</v>
      </c>
      <c r="E1392">
        <v>5.7</v>
      </c>
      <c r="F1392">
        <v>1.0</v>
      </c>
      <c r="G1392">
        <v>2.0</v>
      </c>
      <c r="H1392" t="str">
        <f t="shared" si="2"/>
        <v>2</v>
      </c>
      <c r="I1392">
        <v>88.0</v>
      </c>
      <c r="J1392" t="str">
        <f t="shared" si="3"/>
        <v>279.4</v>
      </c>
      <c r="K1392" t="str">
        <f t="shared" si="4"/>
        <v>653.796</v>
      </c>
      <c r="L1392" t="str">
        <f t="shared" si="5"/>
        <v>32.6898</v>
      </c>
      <c r="M1392" t="str">
        <f t="shared" si="6"/>
        <v>234</v>
      </c>
      <c r="N1392" t="s">
        <v>187</v>
      </c>
      <c r="O1392" t="s">
        <v>2466</v>
      </c>
      <c r="P1392" t="s">
        <v>2467</v>
      </c>
    </row>
    <row r="1393" ht="15.75" customHeight="1">
      <c r="A1393">
        <v>1400.0</v>
      </c>
      <c r="B1393">
        <v>96.0</v>
      </c>
      <c r="C1393">
        <v>121.0</v>
      </c>
      <c r="D1393">
        <v>3.0</v>
      </c>
      <c r="E1393">
        <v>6.0</v>
      </c>
      <c r="F1393">
        <v>3.0</v>
      </c>
      <c r="G1393">
        <v>3.0</v>
      </c>
      <c r="H1393" t="str">
        <f t="shared" si="2"/>
        <v>9</v>
      </c>
      <c r="I1393">
        <v>120.0</v>
      </c>
      <c r="J1393" t="str">
        <f t="shared" si="3"/>
        <v>381</v>
      </c>
      <c r="K1393" t="str">
        <f t="shared" si="4"/>
        <v>1196.34</v>
      </c>
      <c r="L1393" t="str">
        <f t="shared" si="5"/>
        <v>13.29266667</v>
      </c>
      <c r="M1393" t="str">
        <f t="shared" si="6"/>
        <v>314</v>
      </c>
      <c r="N1393" t="s">
        <v>187</v>
      </c>
      <c r="O1393" t="s">
        <v>2468</v>
      </c>
      <c r="P1393" t="s">
        <v>2469</v>
      </c>
    </row>
    <row r="1394" ht="15.75" customHeight="1">
      <c r="A1394">
        <v>1401.0</v>
      </c>
      <c r="B1394">
        <v>58.5</v>
      </c>
      <c r="C1394">
        <v>78.5</v>
      </c>
      <c r="D1394">
        <v>3.0</v>
      </c>
      <c r="E1394">
        <v>4.843</v>
      </c>
      <c r="F1394">
        <v>4.0</v>
      </c>
      <c r="G1394">
        <v>4.0</v>
      </c>
      <c r="H1394" t="str">
        <f t="shared" si="2"/>
        <v>16</v>
      </c>
      <c r="I1394">
        <v>105.0</v>
      </c>
      <c r="J1394" t="str">
        <f t="shared" si="3"/>
        <v>333.375</v>
      </c>
      <c r="K1394" t="str">
        <f t="shared" si="4"/>
        <v>876.77625</v>
      </c>
      <c r="L1394" t="str">
        <f t="shared" si="5"/>
        <v>5.479851563</v>
      </c>
      <c r="M1394" t="str">
        <f t="shared" si="6"/>
        <v>263</v>
      </c>
      <c r="N1394" t="s">
        <v>187</v>
      </c>
      <c r="O1394" t="s">
        <v>2470</v>
      </c>
      <c r="P1394" t="s">
        <v>2471</v>
      </c>
    </row>
    <row r="1395" ht="15.75" customHeight="1">
      <c r="A1395">
        <v>1402.0</v>
      </c>
      <c r="B1395">
        <v>86.0</v>
      </c>
      <c r="C1395">
        <v>51.0</v>
      </c>
      <c r="D1395">
        <v>3.0</v>
      </c>
      <c r="E1395">
        <v>3.61</v>
      </c>
      <c r="F1395">
        <v>2.0</v>
      </c>
      <c r="G1395">
        <v>5.0</v>
      </c>
      <c r="H1395" t="str">
        <f t="shared" si="2"/>
        <v>10</v>
      </c>
      <c r="I1395">
        <v>86.0</v>
      </c>
      <c r="J1395" t="str">
        <f t="shared" si="3"/>
        <v>273.05</v>
      </c>
      <c r="K1395" t="str">
        <f t="shared" si="4"/>
        <v>532.4475</v>
      </c>
      <c r="L1395" t="str">
        <f t="shared" si="5"/>
        <v>5.324475</v>
      </c>
      <c r="M1395" t="str">
        <f t="shared" si="6"/>
        <v>195</v>
      </c>
      <c r="N1395" t="s">
        <v>187</v>
      </c>
      <c r="O1395" t="s">
        <v>2472</v>
      </c>
      <c r="P1395" s="126" t="s">
        <v>2473</v>
      </c>
    </row>
    <row r="1396" ht="15.75" customHeight="1">
      <c r="A1396">
        <v>1403.0</v>
      </c>
      <c r="B1396">
        <v>275.0</v>
      </c>
      <c r="C1396">
        <v>125.0</v>
      </c>
      <c r="D1396">
        <v>3.0</v>
      </c>
      <c r="E1396">
        <v>8.35</v>
      </c>
      <c r="F1396">
        <v>1.0</v>
      </c>
      <c r="G1396">
        <v>2.0</v>
      </c>
      <c r="H1396" t="str">
        <f t="shared" si="2"/>
        <v>2</v>
      </c>
      <c r="I1396">
        <v>84.0</v>
      </c>
      <c r="J1396" t="str">
        <f t="shared" si="3"/>
        <v>266.7</v>
      </c>
      <c r="K1396" t="str">
        <f t="shared" si="4"/>
        <v>786.765</v>
      </c>
      <c r="L1396" t="str">
        <f t="shared" si="5"/>
        <v>39.33825</v>
      </c>
      <c r="M1396" t="str">
        <f t="shared" si="6"/>
        <v>295</v>
      </c>
      <c r="N1396" t="s">
        <v>187</v>
      </c>
      <c r="O1396" t="s">
        <v>2474</v>
      </c>
      <c r="P1396" t="s">
        <v>2475</v>
      </c>
    </row>
    <row r="1397" ht="15.75" customHeight="1">
      <c r="A1397">
        <v>1404.0</v>
      </c>
      <c r="B1397">
        <v>220.0</v>
      </c>
      <c r="C1397">
        <v>147.0</v>
      </c>
      <c r="D1397">
        <v>3.0</v>
      </c>
      <c r="E1397">
        <v>4.34</v>
      </c>
      <c r="F1397">
        <v>1.0</v>
      </c>
      <c r="G1397">
        <v>3.0</v>
      </c>
      <c r="H1397" t="str">
        <f t="shared" si="2"/>
        <v>3</v>
      </c>
      <c r="I1397">
        <v>143.0</v>
      </c>
      <c r="J1397" t="str">
        <f t="shared" si="3"/>
        <v>454.025</v>
      </c>
      <c r="K1397" t="str">
        <f t="shared" si="4"/>
        <v>1089.66</v>
      </c>
      <c r="L1397" t="str">
        <f t="shared" si="5"/>
        <v>36.322</v>
      </c>
      <c r="M1397" t="str">
        <f t="shared" si="6"/>
        <v>240</v>
      </c>
      <c r="N1397" t="s">
        <v>187</v>
      </c>
      <c r="O1397" t="s">
        <v>2476</v>
      </c>
      <c r="P1397" s="126" t="s">
        <v>2477</v>
      </c>
    </row>
    <row r="1398" ht="15.75" customHeight="1">
      <c r="A1398">
        <v>1405.0</v>
      </c>
      <c r="B1398">
        <v>220.0</v>
      </c>
      <c r="C1398">
        <v>147.0</v>
      </c>
      <c r="D1398">
        <v>3.0</v>
      </c>
      <c r="E1398">
        <v>4.34</v>
      </c>
      <c r="F1398">
        <v>1.0</v>
      </c>
      <c r="G1398">
        <v>3.0</v>
      </c>
      <c r="H1398" t="str">
        <f t="shared" si="2"/>
        <v>3</v>
      </c>
      <c r="I1398">
        <v>143.0</v>
      </c>
      <c r="J1398" t="str">
        <f t="shared" si="3"/>
        <v>454.025</v>
      </c>
      <c r="K1398" t="str">
        <f t="shared" si="4"/>
        <v>1089.66</v>
      </c>
      <c r="L1398" t="str">
        <f t="shared" si="5"/>
        <v>36.322</v>
      </c>
      <c r="M1398" t="str">
        <f t="shared" si="6"/>
        <v>240</v>
      </c>
      <c r="N1398" t="s">
        <v>187</v>
      </c>
      <c r="O1398" t="s">
        <v>2478</v>
      </c>
      <c r="P1398" s="126" t="s">
        <v>2479</v>
      </c>
    </row>
    <row r="1399" ht="15.75" customHeight="1">
      <c r="A1399">
        <v>1406.0</v>
      </c>
      <c r="B1399">
        <v>153.0</v>
      </c>
      <c r="C1399">
        <v>107.0</v>
      </c>
      <c r="D1399">
        <v>5.0</v>
      </c>
      <c r="E1399">
        <v>4.13</v>
      </c>
      <c r="F1399">
        <v>2.0</v>
      </c>
      <c r="G1399">
        <v>3.0</v>
      </c>
      <c r="H1399" t="str">
        <f t="shared" si="2"/>
        <v>6</v>
      </c>
      <c r="I1399">
        <v>105.0</v>
      </c>
      <c r="J1399" t="str">
        <f t="shared" si="3"/>
        <v>333.375</v>
      </c>
      <c r="K1399" t="str">
        <f t="shared" si="4"/>
        <v>1110.13875</v>
      </c>
      <c r="L1399" t="str">
        <f t="shared" si="5"/>
        <v>18.5023125</v>
      </c>
      <c r="M1399" t="str">
        <f t="shared" si="6"/>
        <v>333</v>
      </c>
      <c r="N1399" t="s">
        <v>187</v>
      </c>
      <c r="O1399" t="s">
        <v>2480</v>
      </c>
      <c r="P1399" t="s">
        <v>2481</v>
      </c>
    </row>
    <row r="1400" ht="15.75" customHeight="1">
      <c r="A1400">
        <v>1407.0</v>
      </c>
      <c r="B1400">
        <v>55.0</v>
      </c>
      <c r="C1400">
        <v>45.0</v>
      </c>
      <c r="D1400">
        <v>3.0</v>
      </c>
      <c r="E1400">
        <v>6.0</v>
      </c>
      <c r="F1400">
        <v>4.0</v>
      </c>
      <c r="G1400">
        <v>6.0</v>
      </c>
      <c r="H1400" t="str">
        <f t="shared" si="2"/>
        <v>24</v>
      </c>
      <c r="I1400">
        <v>90.0</v>
      </c>
      <c r="J1400" t="str">
        <f t="shared" si="3"/>
        <v>285.75</v>
      </c>
      <c r="K1400" t="str">
        <f t="shared" si="4"/>
        <v>711.5175</v>
      </c>
      <c r="L1400" t="str">
        <f t="shared" si="5"/>
        <v>2.96465625</v>
      </c>
      <c r="M1400" t="str">
        <f t="shared" si="6"/>
        <v>249</v>
      </c>
      <c r="N1400" t="s">
        <v>187</v>
      </c>
      <c r="O1400" t="s">
        <v>2482</v>
      </c>
    </row>
    <row r="1401" ht="15.75" customHeight="1">
      <c r="A1401">
        <v>1408.0</v>
      </c>
      <c r="B1401">
        <v>20.0</v>
      </c>
      <c r="C1401">
        <v>45.0</v>
      </c>
      <c r="D1401">
        <v>3.0</v>
      </c>
      <c r="E1401">
        <v>2.625</v>
      </c>
      <c r="F1401">
        <v>14.0</v>
      </c>
      <c r="G1401">
        <v>6.0</v>
      </c>
      <c r="H1401" t="str">
        <f t="shared" si="2"/>
        <v>84</v>
      </c>
      <c r="I1401">
        <v>90.0</v>
      </c>
      <c r="J1401" t="str">
        <f t="shared" si="3"/>
        <v>285.75</v>
      </c>
      <c r="K1401" t="str">
        <f t="shared" si="4"/>
        <v>968.6925</v>
      </c>
      <c r="L1401" t="str">
        <f t="shared" si="5"/>
        <v>1.153205357</v>
      </c>
      <c r="M1401" t="str">
        <f t="shared" si="6"/>
        <v>339</v>
      </c>
      <c r="N1401" t="s">
        <v>187</v>
      </c>
      <c r="O1401" t="s">
        <v>2483</v>
      </c>
    </row>
    <row r="1402" ht="15.75" customHeight="1">
      <c r="A1402">
        <v>1409.0</v>
      </c>
      <c r="B1402">
        <v>50.0</v>
      </c>
      <c r="C1402">
        <v>140.0</v>
      </c>
      <c r="D1402">
        <v>5.0</v>
      </c>
      <c r="E1402">
        <v>2.88</v>
      </c>
      <c r="F1402">
        <v>3.0</v>
      </c>
      <c r="G1402">
        <v>3.0</v>
      </c>
      <c r="H1402" t="str">
        <f t="shared" si="2"/>
        <v>9</v>
      </c>
      <c r="I1402">
        <v>135.0</v>
      </c>
      <c r="J1402" t="str">
        <f t="shared" si="3"/>
        <v>428.625</v>
      </c>
      <c r="K1402" t="str">
        <f t="shared" si="4"/>
        <v>780.0975</v>
      </c>
      <c r="L1402" t="str">
        <f t="shared" si="5"/>
        <v>8.66775</v>
      </c>
      <c r="M1402" t="str">
        <f t="shared" si="6"/>
        <v>182</v>
      </c>
      <c r="N1402" t="s">
        <v>187</v>
      </c>
      <c r="O1402" t="s">
        <v>2484</v>
      </c>
      <c r="P1402" t="s">
        <v>2485</v>
      </c>
    </row>
    <row r="1403" ht="15.75" customHeight="1">
      <c r="A1403">
        <v>1410.0</v>
      </c>
      <c r="B1403">
        <v>18.0</v>
      </c>
      <c r="C1403">
        <v>82.0</v>
      </c>
      <c r="D1403">
        <v>3.0</v>
      </c>
      <c r="E1403">
        <v>3.73</v>
      </c>
      <c r="F1403">
        <v>14.0</v>
      </c>
      <c r="G1403">
        <v>4.0</v>
      </c>
      <c r="H1403" t="str">
        <f t="shared" si="2"/>
        <v>56</v>
      </c>
      <c r="I1403">
        <v>108.0</v>
      </c>
      <c r="J1403" t="str">
        <f t="shared" si="3"/>
        <v>342.9</v>
      </c>
      <c r="K1403" t="str">
        <f t="shared" si="4"/>
        <v>1066.419</v>
      </c>
      <c r="L1403" t="str">
        <f t="shared" si="5"/>
        <v>1.904319643</v>
      </c>
      <c r="M1403" t="str">
        <f t="shared" si="6"/>
        <v>311</v>
      </c>
      <c r="N1403" t="s">
        <v>182</v>
      </c>
      <c r="O1403" t="s">
        <v>2486</v>
      </c>
    </row>
    <row r="1404" ht="15.75" customHeight="1">
      <c r="A1404">
        <v>1411.0</v>
      </c>
      <c r="B1404">
        <v>175.0</v>
      </c>
      <c r="C1404">
        <v>100.0</v>
      </c>
      <c r="D1404">
        <v>3.0</v>
      </c>
      <c r="E1404">
        <v>3.72</v>
      </c>
      <c r="F1404">
        <v>2.0</v>
      </c>
      <c r="G1404">
        <v>3.0</v>
      </c>
      <c r="H1404" t="str">
        <f t="shared" si="2"/>
        <v>6</v>
      </c>
      <c r="I1404">
        <v>98.0</v>
      </c>
      <c r="J1404" t="str">
        <f t="shared" si="3"/>
        <v>311.15</v>
      </c>
      <c r="K1404" t="str">
        <f t="shared" si="4"/>
        <v>1160.5895</v>
      </c>
      <c r="L1404" t="str">
        <f t="shared" si="5"/>
        <v>19.34315833</v>
      </c>
      <c r="M1404" t="str">
        <f t="shared" si="6"/>
        <v>373</v>
      </c>
      <c r="N1404" t="s">
        <v>187</v>
      </c>
      <c r="O1404" t="s">
        <v>2487</v>
      </c>
      <c r="P1404" t="s">
        <v>2488</v>
      </c>
    </row>
    <row r="1405" ht="15.75" customHeight="1">
      <c r="A1405">
        <v>1412.0</v>
      </c>
      <c r="B1405">
        <v>43.0</v>
      </c>
      <c r="C1405">
        <v>38.0</v>
      </c>
      <c r="D1405">
        <v>3.0</v>
      </c>
      <c r="E1405">
        <v>2.82</v>
      </c>
      <c r="F1405">
        <v>6.0</v>
      </c>
      <c r="G1405">
        <v>7.0</v>
      </c>
      <c r="H1405" t="str">
        <f t="shared" si="2"/>
        <v>42</v>
      </c>
      <c r="I1405">
        <v>90.0</v>
      </c>
      <c r="J1405" t="str">
        <f t="shared" si="3"/>
        <v>285.75</v>
      </c>
      <c r="K1405" t="str">
        <f t="shared" si="4"/>
        <v>837.2475</v>
      </c>
      <c r="L1405" t="str">
        <f t="shared" si="5"/>
        <v>1.993446429</v>
      </c>
      <c r="M1405" t="str">
        <f t="shared" si="6"/>
        <v>293</v>
      </c>
      <c r="N1405" t="s">
        <v>187</v>
      </c>
      <c r="O1405" t="s">
        <v>2489</v>
      </c>
      <c r="P1405" s="126" t="s">
        <v>2490</v>
      </c>
    </row>
    <row r="1406" ht="15.75" customHeight="1">
      <c r="A1406">
        <v>1413.0</v>
      </c>
      <c r="B1406">
        <v>51.0</v>
      </c>
      <c r="C1406">
        <v>51.0</v>
      </c>
      <c r="D1406">
        <v>3.0</v>
      </c>
      <c r="E1406">
        <v>2.98</v>
      </c>
      <c r="F1406">
        <v>4.0</v>
      </c>
      <c r="G1406">
        <v>6.0</v>
      </c>
      <c r="H1406" t="str">
        <f t="shared" si="2"/>
        <v>24</v>
      </c>
      <c r="I1406">
        <v>102.0</v>
      </c>
      <c r="J1406" t="str">
        <f t="shared" si="3"/>
        <v>323.85</v>
      </c>
      <c r="K1406" t="str">
        <f t="shared" si="4"/>
        <v>754.5705</v>
      </c>
      <c r="L1406" t="str">
        <f t="shared" si="5"/>
        <v>3.14404375</v>
      </c>
      <c r="M1406" t="str">
        <f t="shared" si="6"/>
        <v>233</v>
      </c>
      <c r="N1406" t="s">
        <v>187</v>
      </c>
      <c r="O1406" t="s">
        <v>2491</v>
      </c>
      <c r="P1406" s="126" t="s">
        <v>2492</v>
      </c>
    </row>
    <row r="1407" ht="15.75" customHeight="1">
      <c r="A1407">
        <v>1414.0</v>
      </c>
      <c r="B1407">
        <v>120.0</v>
      </c>
      <c r="C1407">
        <v>83.0</v>
      </c>
      <c r="D1407">
        <v>5.0</v>
      </c>
      <c r="E1407">
        <v>4.313</v>
      </c>
      <c r="F1407">
        <v>2.0</v>
      </c>
      <c r="G1407">
        <v>4.0</v>
      </c>
      <c r="H1407" t="str">
        <f t="shared" si="2"/>
        <v>8</v>
      </c>
      <c r="I1407">
        <v>110.0</v>
      </c>
      <c r="J1407" t="str">
        <f t="shared" si="3"/>
        <v>349.25</v>
      </c>
      <c r="K1407" t="str">
        <f t="shared" si="4"/>
        <v>932.4975</v>
      </c>
      <c r="L1407" t="str">
        <f t="shared" si="5"/>
        <v>11.65621875</v>
      </c>
      <c r="M1407" t="str">
        <f t="shared" si="6"/>
        <v>267</v>
      </c>
      <c r="N1407" t="s">
        <v>187</v>
      </c>
      <c r="O1407" t="s">
        <v>2493</v>
      </c>
      <c r="P1407" t="s">
        <v>2494</v>
      </c>
    </row>
    <row r="1408" ht="15.75" customHeight="1">
      <c r="A1408">
        <v>1415.0</v>
      </c>
      <c r="B1408">
        <v>100.0</v>
      </c>
      <c r="C1408">
        <v>20.0</v>
      </c>
      <c r="D1408">
        <v>3.0</v>
      </c>
      <c r="E1408">
        <v>2.86</v>
      </c>
      <c r="F1408">
        <v>2.0</v>
      </c>
      <c r="G1408">
        <v>15.0</v>
      </c>
      <c r="H1408" t="str">
        <f t="shared" si="2"/>
        <v>30</v>
      </c>
      <c r="I1408">
        <v>108.0</v>
      </c>
      <c r="J1408" t="str">
        <f t="shared" si="3"/>
        <v>342.9</v>
      </c>
      <c r="K1408" t="str">
        <f t="shared" si="4"/>
        <v>764.667</v>
      </c>
      <c r="L1408" t="str">
        <f t="shared" si="5"/>
        <v>2.54889</v>
      </c>
      <c r="M1408" t="str">
        <f t="shared" si="6"/>
        <v>223</v>
      </c>
      <c r="N1408" t="s">
        <v>182</v>
      </c>
      <c r="O1408" t="s">
        <v>2495</v>
      </c>
    </row>
    <row r="1409" ht="15.75" customHeight="1">
      <c r="A1409">
        <v>1416.0</v>
      </c>
      <c r="B1409">
        <v>153.0</v>
      </c>
      <c r="C1409">
        <v>107.0</v>
      </c>
      <c r="D1409">
        <v>3.0</v>
      </c>
      <c r="E1409">
        <v>4.13</v>
      </c>
      <c r="F1409">
        <v>2.0</v>
      </c>
      <c r="G1409">
        <v>3.0</v>
      </c>
      <c r="H1409" t="str">
        <f t="shared" si="2"/>
        <v>6</v>
      </c>
      <c r="I1409">
        <v>105.0</v>
      </c>
      <c r="J1409" t="str">
        <f t="shared" si="3"/>
        <v>333.375</v>
      </c>
      <c r="K1409" t="str">
        <f t="shared" si="4"/>
        <v>1096.80375</v>
      </c>
      <c r="L1409" t="str">
        <f t="shared" si="5"/>
        <v>18.2800625</v>
      </c>
      <c r="M1409" t="str">
        <f t="shared" si="6"/>
        <v>329</v>
      </c>
      <c r="N1409" t="s">
        <v>187</v>
      </c>
      <c r="O1409" t="s">
        <v>2496</v>
      </c>
      <c r="P1409" t="s">
        <v>2497</v>
      </c>
    </row>
    <row r="1410" ht="15.75" customHeight="1">
      <c r="A1410">
        <v>1417.0</v>
      </c>
      <c r="B1410">
        <v>145.0</v>
      </c>
      <c r="C1410">
        <v>65.0</v>
      </c>
      <c r="D1410">
        <v>3.0</v>
      </c>
      <c r="E1410">
        <v>3.26</v>
      </c>
      <c r="F1410">
        <v>2.0</v>
      </c>
      <c r="G1410">
        <v>4.0</v>
      </c>
      <c r="H1410" t="str">
        <f t="shared" si="2"/>
        <v>8</v>
      </c>
      <c r="I1410">
        <v>86.0</v>
      </c>
      <c r="J1410" t="str">
        <f t="shared" si="3"/>
        <v>273.05</v>
      </c>
      <c r="K1410" t="str">
        <f t="shared" si="4"/>
        <v>854.6465</v>
      </c>
      <c r="L1410" t="str">
        <f t="shared" si="5"/>
        <v>10.68308125</v>
      </c>
      <c r="M1410" t="str">
        <f t="shared" si="6"/>
        <v>313</v>
      </c>
      <c r="N1410" t="s">
        <v>187</v>
      </c>
      <c r="O1410" t="s">
        <v>2498</v>
      </c>
      <c r="P1410" t="s">
        <v>2499</v>
      </c>
    </row>
    <row r="1411" ht="15.75" customHeight="1">
      <c r="A1411">
        <v>1418.0</v>
      </c>
      <c r="B1411">
        <v>40.0</v>
      </c>
      <c r="C1411">
        <v>47.0</v>
      </c>
      <c r="D1411">
        <v>3.0</v>
      </c>
      <c r="E1411">
        <v>2.89</v>
      </c>
      <c r="F1411">
        <v>8.0</v>
      </c>
      <c r="G1411">
        <v>7.0</v>
      </c>
      <c r="H1411" t="str">
        <f t="shared" si="2"/>
        <v>56</v>
      </c>
      <c r="I1411">
        <v>110.0</v>
      </c>
      <c r="J1411" t="str">
        <f t="shared" si="3"/>
        <v>349.25</v>
      </c>
      <c r="K1411" t="str">
        <f t="shared" si="4"/>
        <v>1260.7925</v>
      </c>
      <c r="L1411" t="str">
        <f t="shared" si="5"/>
        <v>2.251415179</v>
      </c>
      <c r="M1411" t="str">
        <f t="shared" si="6"/>
        <v>361</v>
      </c>
      <c r="N1411" t="s">
        <v>187</v>
      </c>
      <c r="O1411" t="s">
        <v>2500</v>
      </c>
    </row>
    <row r="1412" ht="15.75" customHeight="1">
      <c r="A1412">
        <v>1419.0</v>
      </c>
      <c r="B1412">
        <v>93.0</v>
      </c>
      <c r="C1412">
        <v>160.0</v>
      </c>
      <c r="D1412">
        <v>3.0</v>
      </c>
      <c r="E1412">
        <v>6.69</v>
      </c>
      <c r="F1412">
        <v>3.0</v>
      </c>
      <c r="G1412">
        <v>2.0</v>
      </c>
      <c r="H1412" t="str">
        <f t="shared" si="2"/>
        <v>6</v>
      </c>
      <c r="I1412">
        <v>105.0</v>
      </c>
      <c r="J1412" t="str">
        <f t="shared" si="3"/>
        <v>333.375</v>
      </c>
      <c r="K1412" t="str">
        <f t="shared" si="4"/>
        <v>1016.79375</v>
      </c>
      <c r="L1412" t="str">
        <f t="shared" si="5"/>
        <v>16.9465625</v>
      </c>
      <c r="M1412" t="str">
        <f t="shared" si="6"/>
        <v>305</v>
      </c>
      <c r="N1412" t="s">
        <v>187</v>
      </c>
      <c r="O1412" t="s">
        <v>2501</v>
      </c>
    </row>
    <row r="1413" ht="15.75" customHeight="1">
      <c r="A1413">
        <v>1420.0</v>
      </c>
      <c r="B1413">
        <v>200.0</v>
      </c>
      <c r="C1413">
        <v>300.0</v>
      </c>
      <c r="D1413">
        <v>3.0</v>
      </c>
      <c r="E1413">
        <v>4.8</v>
      </c>
      <c r="F1413">
        <v>2.0</v>
      </c>
      <c r="G1413">
        <v>1.0</v>
      </c>
      <c r="H1413" t="str">
        <f t="shared" si="2"/>
        <v>2</v>
      </c>
      <c r="I1413">
        <v>96.0</v>
      </c>
      <c r="J1413" t="str">
        <f t="shared" si="3"/>
        <v>304.8</v>
      </c>
      <c r="K1413" t="str">
        <f t="shared" si="4"/>
        <v>1289.304</v>
      </c>
      <c r="L1413" t="str">
        <f t="shared" si="5"/>
        <v>64.4652</v>
      </c>
      <c r="M1413" t="str">
        <f t="shared" si="6"/>
        <v>423</v>
      </c>
      <c r="N1413" t="s">
        <v>187</v>
      </c>
      <c r="O1413" t="s">
        <v>2502</v>
      </c>
    </row>
    <row r="1414" ht="15.75" customHeight="1">
      <c r="A1414">
        <v>1421.0</v>
      </c>
      <c r="B1414">
        <v>70.0</v>
      </c>
      <c r="C1414">
        <v>24.82</v>
      </c>
      <c r="D1414">
        <v>3.0</v>
      </c>
      <c r="E1414">
        <v>3.12</v>
      </c>
      <c r="F1414">
        <v>5.0</v>
      </c>
      <c r="G1414">
        <v>10.0</v>
      </c>
      <c r="H1414" t="str">
        <f t="shared" si="2"/>
        <v>50</v>
      </c>
      <c r="I1414">
        <v>88.0</v>
      </c>
      <c r="J1414" t="str">
        <f t="shared" si="3"/>
        <v>279.4</v>
      </c>
      <c r="K1414" t="str">
        <f t="shared" si="4"/>
        <v>1067.308</v>
      </c>
      <c r="L1414" t="str">
        <f t="shared" si="5"/>
        <v>2.134616</v>
      </c>
      <c r="M1414" t="str">
        <f t="shared" si="6"/>
        <v>382</v>
      </c>
      <c r="N1414" t="s">
        <v>182</v>
      </c>
      <c r="O1414" t="s">
        <v>2503</v>
      </c>
      <c r="P1414" t="s">
        <v>789</v>
      </c>
    </row>
    <row r="1415" ht="15.75" customHeight="1">
      <c r="A1415">
        <v>1422.0</v>
      </c>
      <c r="B1415">
        <v>104.0</v>
      </c>
      <c r="C1415">
        <v>35.0</v>
      </c>
      <c r="D1415">
        <v>3.0</v>
      </c>
      <c r="E1415">
        <v>3.1</v>
      </c>
      <c r="F1415">
        <v>2.0</v>
      </c>
      <c r="G1415">
        <v>10.0</v>
      </c>
      <c r="H1415" t="str">
        <f t="shared" si="2"/>
        <v>20</v>
      </c>
      <c r="I1415">
        <v>120.0</v>
      </c>
      <c r="J1415" t="str">
        <f t="shared" si="3"/>
        <v>381</v>
      </c>
      <c r="K1415" t="str">
        <f t="shared" si="4"/>
        <v>880.11</v>
      </c>
      <c r="L1415" t="str">
        <f t="shared" si="5"/>
        <v>4.40055</v>
      </c>
      <c r="M1415" t="str">
        <f t="shared" si="6"/>
        <v>231</v>
      </c>
      <c r="N1415" t="s">
        <v>182</v>
      </c>
      <c r="O1415" t="s">
        <v>2504</v>
      </c>
      <c r="P1415" s="126" t="s">
        <v>2505</v>
      </c>
    </row>
    <row r="1416" ht="15.75" customHeight="1">
      <c r="A1416">
        <v>1423.0</v>
      </c>
      <c r="B1416">
        <v>65.0</v>
      </c>
      <c r="C1416">
        <v>30.0</v>
      </c>
      <c r="D1416">
        <v>3.0</v>
      </c>
      <c r="E1416">
        <v>2.74</v>
      </c>
      <c r="F1416">
        <v>4.0</v>
      </c>
      <c r="G1416">
        <v>16.0</v>
      </c>
      <c r="H1416" t="str">
        <f t="shared" si="2"/>
        <v>64</v>
      </c>
      <c r="I1416">
        <v>165.0</v>
      </c>
      <c r="J1416" t="str">
        <f t="shared" si="3"/>
        <v>523.875</v>
      </c>
      <c r="K1416" t="str">
        <f t="shared" si="4"/>
        <v>1513.99875</v>
      </c>
      <c r="L1416" t="str">
        <f t="shared" si="5"/>
        <v>2.365623047</v>
      </c>
      <c r="M1416" t="str">
        <f t="shared" si="6"/>
        <v>289</v>
      </c>
      <c r="N1416" t="s">
        <v>187</v>
      </c>
      <c r="O1416" t="s">
        <v>2506</v>
      </c>
      <c r="P1416" t="s">
        <v>789</v>
      </c>
    </row>
    <row r="1417" ht="15.75" customHeight="1">
      <c r="A1417">
        <v>1424.0</v>
      </c>
      <c r="B1417">
        <v>155.0</v>
      </c>
      <c r="C1417">
        <v>80.0</v>
      </c>
      <c r="D1417">
        <v>5.0</v>
      </c>
      <c r="E1417">
        <v>3.34</v>
      </c>
      <c r="F1417">
        <v>2.0</v>
      </c>
      <c r="G1417">
        <v>4.0</v>
      </c>
      <c r="H1417" t="str">
        <f t="shared" si="2"/>
        <v>8</v>
      </c>
      <c r="I1417">
        <v>105.0</v>
      </c>
      <c r="J1417" t="str">
        <f t="shared" si="3"/>
        <v>333.375</v>
      </c>
      <c r="K1417" t="str">
        <f t="shared" si="4"/>
        <v>1123.47375</v>
      </c>
      <c r="L1417" t="str">
        <f t="shared" si="5"/>
        <v>14.04342188</v>
      </c>
      <c r="M1417" t="str">
        <f t="shared" si="6"/>
        <v>337</v>
      </c>
      <c r="N1417" t="s">
        <v>182</v>
      </c>
      <c r="O1417" t="s">
        <v>2507</v>
      </c>
      <c r="P1417" t="s">
        <v>2508</v>
      </c>
    </row>
    <row r="1418" ht="15.75" customHeight="1">
      <c r="A1418">
        <v>1426.0</v>
      </c>
      <c r="B1418">
        <v>305.0</v>
      </c>
      <c r="C1418">
        <v>125.0</v>
      </c>
      <c r="D1418">
        <v>5.0</v>
      </c>
      <c r="E1418">
        <v>8.35</v>
      </c>
      <c r="F1418">
        <v>1.0</v>
      </c>
      <c r="G1418">
        <v>2.0</v>
      </c>
      <c r="H1418" t="str">
        <f t="shared" si="2"/>
        <v>2</v>
      </c>
      <c r="I1418">
        <v>84.0</v>
      </c>
      <c r="J1418" t="str">
        <f t="shared" si="3"/>
        <v>266.7</v>
      </c>
      <c r="K1418" t="str">
        <f t="shared" si="4"/>
        <v>872.109</v>
      </c>
      <c r="L1418" t="str">
        <f t="shared" si="5"/>
        <v>43.60545</v>
      </c>
      <c r="M1418" t="str">
        <f t="shared" si="6"/>
        <v>327</v>
      </c>
      <c r="N1418" t="s">
        <v>187</v>
      </c>
      <c r="O1418" t="s">
        <v>2509</v>
      </c>
      <c r="P1418" t="s">
        <v>2510</v>
      </c>
    </row>
    <row r="1419" ht="15.75" customHeight="1">
      <c r="A1419">
        <v>1427.0</v>
      </c>
      <c r="B1419">
        <v>90.0</v>
      </c>
      <c r="C1419">
        <v>75.0</v>
      </c>
      <c r="D1419">
        <v>3.0</v>
      </c>
      <c r="E1419">
        <v>5.01</v>
      </c>
      <c r="F1419">
        <v>4.0</v>
      </c>
      <c r="G1419">
        <v>5.0</v>
      </c>
      <c r="H1419" t="str">
        <f t="shared" si="2"/>
        <v>20</v>
      </c>
      <c r="I1419">
        <v>126.0</v>
      </c>
      <c r="J1419" t="str">
        <f t="shared" si="3"/>
        <v>400.05</v>
      </c>
      <c r="K1419" t="str">
        <f t="shared" si="4"/>
        <v>1556.1945</v>
      </c>
      <c r="L1419" t="str">
        <f t="shared" si="5"/>
        <v>7.7809725</v>
      </c>
      <c r="M1419" t="str">
        <f t="shared" si="6"/>
        <v>389</v>
      </c>
      <c r="N1419" t="s">
        <v>187</v>
      </c>
      <c r="O1419" t="s">
        <v>2511</v>
      </c>
      <c r="P1419" t="s">
        <v>2512</v>
      </c>
    </row>
    <row r="1420" ht="15.75" customHeight="1">
      <c r="A1420">
        <v>1428.0</v>
      </c>
      <c r="B1420">
        <v>105.0</v>
      </c>
      <c r="C1420">
        <v>53.0</v>
      </c>
      <c r="D1420">
        <v>3.0</v>
      </c>
      <c r="E1420">
        <v>2.88</v>
      </c>
      <c r="F1420">
        <v>2.0</v>
      </c>
      <c r="G1420">
        <v>5.0</v>
      </c>
      <c r="H1420" t="str">
        <f t="shared" si="2"/>
        <v>10</v>
      </c>
      <c r="I1420">
        <v>88.0</v>
      </c>
      <c r="J1420" t="str">
        <f t="shared" si="3"/>
        <v>279.4</v>
      </c>
      <c r="K1420" t="str">
        <f t="shared" si="4"/>
        <v>651.002</v>
      </c>
      <c r="L1420" t="str">
        <f t="shared" si="5"/>
        <v>6.51002</v>
      </c>
      <c r="M1420" t="str">
        <f t="shared" si="6"/>
        <v>233</v>
      </c>
      <c r="N1420" t="s">
        <v>187</v>
      </c>
      <c r="O1420" t="s">
        <v>2513</v>
      </c>
      <c r="P1420" t="s">
        <v>2514</v>
      </c>
    </row>
    <row r="1421" ht="15.75" customHeight="1">
      <c r="A1421">
        <v>1429.0</v>
      </c>
      <c r="B1421">
        <v>93.5</v>
      </c>
      <c r="C1421">
        <v>70.6</v>
      </c>
      <c r="D1421">
        <v>3.0</v>
      </c>
      <c r="E1421">
        <v>5.6</v>
      </c>
      <c r="F1421">
        <v>3.0</v>
      </c>
      <c r="G1421">
        <v>4.0</v>
      </c>
      <c r="H1421" t="str">
        <f t="shared" si="2"/>
        <v>12</v>
      </c>
      <c r="I1421">
        <v>96.0</v>
      </c>
      <c r="J1421" t="str">
        <f t="shared" si="3"/>
        <v>304.8</v>
      </c>
      <c r="K1421" t="str">
        <f t="shared" si="4"/>
        <v>934.212</v>
      </c>
      <c r="L1421" t="str">
        <f t="shared" si="5"/>
        <v>7.7851</v>
      </c>
      <c r="M1421" t="str">
        <f t="shared" si="6"/>
        <v>306.5</v>
      </c>
      <c r="N1421" t="s">
        <v>182</v>
      </c>
      <c r="O1421" t="s">
        <v>2515</v>
      </c>
      <c r="P1421" t="s">
        <v>2516</v>
      </c>
    </row>
    <row r="1422" ht="15.75" customHeight="1">
      <c r="A1422">
        <v>1430.0</v>
      </c>
      <c r="B1422">
        <v>107.0</v>
      </c>
      <c r="C1422">
        <v>134.0</v>
      </c>
      <c r="D1422">
        <v>5.0</v>
      </c>
      <c r="E1422">
        <v>5.7</v>
      </c>
      <c r="F1422">
        <v>2.0</v>
      </c>
      <c r="G1422">
        <v>2.0</v>
      </c>
      <c r="H1422" t="str">
        <f t="shared" si="2"/>
        <v>4</v>
      </c>
      <c r="I1422">
        <v>88.0</v>
      </c>
      <c r="J1422" t="str">
        <f t="shared" si="3"/>
        <v>279.4</v>
      </c>
      <c r="K1422" t="str">
        <f t="shared" si="4"/>
        <v>673.354</v>
      </c>
      <c r="L1422" t="str">
        <f t="shared" si="5"/>
        <v>16.83385</v>
      </c>
      <c r="M1422" t="str">
        <f t="shared" si="6"/>
        <v>241</v>
      </c>
      <c r="N1422" t="s">
        <v>187</v>
      </c>
      <c r="O1422" t="s">
        <v>2517</v>
      </c>
      <c r="P1422" t="s">
        <v>2518</v>
      </c>
    </row>
    <row r="1423" ht="15.75" customHeight="1">
      <c r="A1423">
        <v>1431.0</v>
      </c>
      <c r="B1423">
        <v>230.0</v>
      </c>
      <c r="C1423">
        <v>152.0</v>
      </c>
      <c r="D1423">
        <v>3.0</v>
      </c>
      <c r="E1423">
        <v>3.575</v>
      </c>
      <c r="F1423">
        <v>1.0</v>
      </c>
      <c r="G1423">
        <v>2.0</v>
      </c>
      <c r="H1423" t="str">
        <f t="shared" si="2"/>
        <v>2</v>
      </c>
      <c r="I1423">
        <v>98.0</v>
      </c>
      <c r="J1423" t="str">
        <f t="shared" si="3"/>
        <v>311.15</v>
      </c>
      <c r="K1423" t="str">
        <f t="shared" si="4"/>
        <v>777.875</v>
      </c>
      <c r="L1423" t="str">
        <f t="shared" si="5"/>
        <v>38.89375</v>
      </c>
      <c r="M1423" t="str">
        <f t="shared" si="6"/>
        <v>250</v>
      </c>
      <c r="N1423" t="s">
        <v>187</v>
      </c>
      <c r="O1423" t="s">
        <v>2519</v>
      </c>
      <c r="P1423" t="s">
        <v>2520</v>
      </c>
    </row>
    <row r="1424" ht="15.75" customHeight="1">
      <c r="A1424">
        <v>1432.0</v>
      </c>
      <c r="B1424">
        <v>152.6</v>
      </c>
      <c r="C1424">
        <v>76.7</v>
      </c>
      <c r="D1424">
        <v>3.0</v>
      </c>
      <c r="E1424">
        <v>4.263</v>
      </c>
      <c r="F1424">
        <v>2.0</v>
      </c>
      <c r="G1424">
        <v>4.0</v>
      </c>
      <c r="H1424" t="str">
        <f t="shared" si="2"/>
        <v>8</v>
      </c>
      <c r="I1424">
        <v>102.0</v>
      </c>
      <c r="J1424" t="str">
        <f t="shared" si="3"/>
        <v>323.85</v>
      </c>
      <c r="K1424" t="str">
        <f t="shared" si="4"/>
        <v>1062.8757</v>
      </c>
      <c r="L1424" t="str">
        <f t="shared" si="5"/>
        <v>13.28594625</v>
      </c>
      <c r="M1424" t="str">
        <f t="shared" si="6"/>
        <v>328.2</v>
      </c>
      <c r="N1424" t="s">
        <v>182</v>
      </c>
      <c r="O1424" t="s">
        <v>2521</v>
      </c>
      <c r="P1424" t="s">
        <v>2522</v>
      </c>
    </row>
    <row r="1425" ht="15.75" customHeight="1">
      <c r="A1425">
        <v>1433.0</v>
      </c>
      <c r="B1425">
        <v>40.0</v>
      </c>
      <c r="C1425">
        <v>75.0</v>
      </c>
      <c r="D1425">
        <v>3.0</v>
      </c>
      <c r="E1425">
        <v>2.7875</v>
      </c>
      <c r="F1425">
        <v>6.0</v>
      </c>
      <c r="G1425">
        <v>4.0</v>
      </c>
      <c r="H1425" t="str">
        <f t="shared" si="2"/>
        <v>24</v>
      </c>
      <c r="I1425">
        <v>98.0</v>
      </c>
      <c r="J1425" t="str">
        <f t="shared" si="3"/>
        <v>311.15</v>
      </c>
      <c r="K1425" t="str">
        <f t="shared" si="4"/>
        <v>855.6625</v>
      </c>
      <c r="L1425" t="str">
        <f t="shared" si="5"/>
        <v>3.565260417</v>
      </c>
      <c r="M1425" t="str">
        <f t="shared" si="6"/>
        <v>275</v>
      </c>
      <c r="N1425" t="s">
        <v>187</v>
      </c>
      <c r="O1425" t="s">
        <v>2523</v>
      </c>
    </row>
    <row r="1426" ht="15.75" customHeight="1">
      <c r="A1426">
        <v>1434.0</v>
      </c>
      <c r="B1426">
        <v>58.0</v>
      </c>
      <c r="C1426">
        <v>18.0</v>
      </c>
      <c r="D1426">
        <v>3.0</v>
      </c>
      <c r="E1426">
        <v>3.01</v>
      </c>
      <c r="F1426">
        <v>5.0</v>
      </c>
      <c r="G1426">
        <v>13.0</v>
      </c>
      <c r="H1426" t="str">
        <f t="shared" si="2"/>
        <v>65</v>
      </c>
      <c r="I1426">
        <v>86.0</v>
      </c>
      <c r="J1426" t="str">
        <f t="shared" si="3"/>
        <v>273.05</v>
      </c>
      <c r="K1426" t="str">
        <f t="shared" si="4"/>
        <v>879.221</v>
      </c>
      <c r="L1426" t="str">
        <f t="shared" si="5"/>
        <v>1.352647692</v>
      </c>
      <c r="M1426" t="str">
        <f t="shared" si="6"/>
        <v>322</v>
      </c>
      <c r="N1426" t="s">
        <v>182</v>
      </c>
      <c r="O1426" t="s">
        <v>2524</v>
      </c>
    </row>
    <row r="1427" ht="15.75" customHeight="1">
      <c r="A1427">
        <v>1435.0</v>
      </c>
      <c r="B1427">
        <v>134.0</v>
      </c>
      <c r="C1427">
        <v>58.0</v>
      </c>
      <c r="D1427">
        <v>3.0</v>
      </c>
      <c r="E1427">
        <v>3.23</v>
      </c>
      <c r="F1427">
        <v>2.0</v>
      </c>
      <c r="G1427">
        <v>7.0</v>
      </c>
      <c r="H1427" t="str">
        <f t="shared" si="2"/>
        <v>14</v>
      </c>
      <c r="I1427">
        <v>135.0</v>
      </c>
      <c r="J1427" t="str">
        <f t="shared" si="3"/>
        <v>428.625</v>
      </c>
      <c r="K1427" t="str">
        <f t="shared" si="4"/>
        <v>1247.29875</v>
      </c>
      <c r="L1427" t="str">
        <f t="shared" si="5"/>
        <v>8.909276786</v>
      </c>
      <c r="M1427" t="str">
        <f t="shared" si="6"/>
        <v>291</v>
      </c>
      <c r="N1427" t="s">
        <v>187</v>
      </c>
      <c r="O1427" t="s">
        <v>2525</v>
      </c>
      <c r="P1427" s="126" t="s">
        <v>2526</v>
      </c>
    </row>
    <row r="1428" ht="15.75" customHeight="1">
      <c r="A1428">
        <v>1436.0</v>
      </c>
      <c r="B1428">
        <v>10.0</v>
      </c>
      <c r="C1428">
        <v>30.0</v>
      </c>
      <c r="D1428">
        <v>3.0</v>
      </c>
      <c r="E1428">
        <v>3.34</v>
      </c>
      <c r="F1428">
        <v>18.0</v>
      </c>
      <c r="G1428">
        <v>8.0</v>
      </c>
      <c r="H1428" t="str">
        <f t="shared" si="2"/>
        <v>144</v>
      </c>
      <c r="I1428">
        <v>84.0</v>
      </c>
      <c r="J1428" t="str">
        <f t="shared" si="3"/>
        <v>266.7</v>
      </c>
      <c r="K1428" t="str">
        <f t="shared" si="4"/>
        <v>669.417</v>
      </c>
      <c r="L1428" t="str">
        <f t="shared" si="5"/>
        <v>0.4648729167</v>
      </c>
      <c r="M1428" t="str">
        <f t="shared" si="6"/>
        <v>251</v>
      </c>
      <c r="N1428" t="s">
        <v>182</v>
      </c>
      <c r="O1428" t="s">
        <v>2527</v>
      </c>
      <c r="P1428" s="126" t="s">
        <v>2528</v>
      </c>
    </row>
    <row r="1429" ht="15.75" customHeight="1">
      <c r="A1429">
        <v>1437.0</v>
      </c>
      <c r="B1429">
        <v>105.0</v>
      </c>
      <c r="C1429">
        <v>260.0</v>
      </c>
      <c r="D1429">
        <v>3.0</v>
      </c>
      <c r="E1429">
        <v>6.7</v>
      </c>
      <c r="F1429">
        <v>2.0</v>
      </c>
      <c r="G1429">
        <v>1.0</v>
      </c>
      <c r="H1429" t="str">
        <f t="shared" si="2"/>
        <v>2</v>
      </c>
      <c r="I1429">
        <v>84.0</v>
      </c>
      <c r="J1429" t="str">
        <f t="shared" si="3"/>
        <v>266.7</v>
      </c>
      <c r="K1429" t="str">
        <f t="shared" si="4"/>
        <v>621.411</v>
      </c>
      <c r="L1429" t="str">
        <f t="shared" si="5"/>
        <v>31.07055</v>
      </c>
      <c r="M1429" t="str">
        <f t="shared" si="6"/>
        <v>233</v>
      </c>
      <c r="N1429" t="s">
        <v>182</v>
      </c>
      <c r="O1429" t="s">
        <v>2529</v>
      </c>
    </row>
    <row r="1430" ht="15.75" customHeight="1">
      <c r="A1430">
        <v>1438.0</v>
      </c>
      <c r="B1430">
        <v>18.0</v>
      </c>
      <c r="C1430">
        <v>18.0</v>
      </c>
      <c r="D1430">
        <v>3.0</v>
      </c>
      <c r="E1430">
        <v>2.41</v>
      </c>
      <c r="F1430">
        <v>16.0</v>
      </c>
      <c r="G1430">
        <v>14.0</v>
      </c>
      <c r="H1430" t="str">
        <f t="shared" si="2"/>
        <v>224</v>
      </c>
      <c r="I1430">
        <v>90.0</v>
      </c>
      <c r="J1430" t="str">
        <f t="shared" si="3"/>
        <v>285.75</v>
      </c>
      <c r="K1430" t="str">
        <f t="shared" si="4"/>
        <v>1008.6975</v>
      </c>
      <c r="L1430" t="str">
        <f t="shared" si="5"/>
        <v>0.4503113839</v>
      </c>
      <c r="M1430" t="str">
        <f t="shared" si="6"/>
        <v>353</v>
      </c>
      <c r="N1430" t="s">
        <v>182</v>
      </c>
      <c r="O1430" t="s">
        <v>2530</v>
      </c>
      <c r="P1430" s="126" t="s">
        <v>2531</v>
      </c>
    </row>
    <row r="1431" ht="15.75" customHeight="1">
      <c r="A1431">
        <v>1439.0</v>
      </c>
      <c r="B1431">
        <v>145.0</v>
      </c>
      <c r="C1431">
        <v>170.0</v>
      </c>
      <c r="D1431">
        <v>3.0</v>
      </c>
      <c r="E1431">
        <v>4.63</v>
      </c>
      <c r="F1431">
        <v>2.0</v>
      </c>
      <c r="G1431">
        <v>2.0</v>
      </c>
      <c r="H1431" t="str">
        <f t="shared" si="2"/>
        <v>4</v>
      </c>
      <c r="I1431">
        <v>110.0</v>
      </c>
      <c r="J1431" t="str">
        <f t="shared" si="3"/>
        <v>349.25</v>
      </c>
      <c r="K1431" t="str">
        <f t="shared" si="4"/>
        <v>1093.1525</v>
      </c>
      <c r="L1431" t="str">
        <f t="shared" si="5"/>
        <v>27.3288125</v>
      </c>
      <c r="M1431" t="str">
        <f t="shared" si="6"/>
        <v>313</v>
      </c>
      <c r="N1431" t="s">
        <v>187</v>
      </c>
      <c r="O1431" t="s">
        <v>2532</v>
      </c>
    </row>
    <row r="1432" ht="15.75" customHeight="1">
      <c r="A1432">
        <v>1440.0</v>
      </c>
      <c r="B1432">
        <v>173.0</v>
      </c>
      <c r="C1432">
        <v>131.0</v>
      </c>
      <c r="D1432">
        <v>5.0</v>
      </c>
      <c r="E1432">
        <v>5.53</v>
      </c>
      <c r="F1432">
        <v>2.0</v>
      </c>
      <c r="G1432">
        <v>2.0</v>
      </c>
      <c r="H1432" t="str">
        <f t="shared" si="2"/>
        <v>4</v>
      </c>
      <c r="I1432">
        <v>86.0</v>
      </c>
      <c r="J1432" t="str">
        <f t="shared" si="3"/>
        <v>273.05</v>
      </c>
      <c r="K1432" t="str">
        <f t="shared" si="4"/>
        <v>1018.4765</v>
      </c>
      <c r="L1432" t="str">
        <f t="shared" si="5"/>
        <v>25.4619125</v>
      </c>
      <c r="M1432" t="str">
        <f t="shared" si="6"/>
        <v>373</v>
      </c>
      <c r="N1432" t="s">
        <v>187</v>
      </c>
      <c r="O1432" t="s">
        <v>2533</v>
      </c>
      <c r="P1432" s="126" t="s">
        <v>2534</v>
      </c>
    </row>
    <row r="1433" ht="15.75" customHeight="1">
      <c r="A1433">
        <v>1441.0</v>
      </c>
      <c r="B1433">
        <v>32.0</v>
      </c>
      <c r="C1433">
        <v>122.0</v>
      </c>
      <c r="D1433">
        <v>3.0</v>
      </c>
      <c r="E1433">
        <v>5.0</v>
      </c>
      <c r="F1433">
        <v>7.0</v>
      </c>
      <c r="G1433">
        <v>3.0</v>
      </c>
      <c r="H1433" t="str">
        <f t="shared" si="2"/>
        <v>21</v>
      </c>
      <c r="I1433">
        <v>120.0</v>
      </c>
      <c r="J1433" t="str">
        <f t="shared" si="3"/>
        <v>381</v>
      </c>
      <c r="K1433" t="str">
        <f t="shared" si="4"/>
        <v>998.22</v>
      </c>
      <c r="L1433" t="str">
        <f t="shared" si="5"/>
        <v>4.753428571</v>
      </c>
      <c r="M1433" t="str">
        <f t="shared" si="6"/>
        <v>262</v>
      </c>
      <c r="N1433" t="s">
        <v>187</v>
      </c>
      <c r="O1433" t="s">
        <v>2535</v>
      </c>
      <c r="P1433" s="126" t="s">
        <v>2536</v>
      </c>
    </row>
    <row r="1434" ht="15.75" customHeight="1">
      <c r="A1434">
        <v>1442.0</v>
      </c>
      <c r="B1434">
        <v>104.0</v>
      </c>
      <c r="C1434">
        <v>65.0</v>
      </c>
      <c r="D1434">
        <v>5.0</v>
      </c>
      <c r="E1434">
        <v>3.58</v>
      </c>
      <c r="F1434">
        <v>2.0</v>
      </c>
      <c r="G1434">
        <v>5.0</v>
      </c>
      <c r="H1434" t="str">
        <f t="shared" si="2"/>
        <v>10</v>
      </c>
      <c r="I1434">
        <v>108.0</v>
      </c>
      <c r="J1434" t="str">
        <f t="shared" si="3"/>
        <v>342.9</v>
      </c>
      <c r="K1434" t="str">
        <f t="shared" si="4"/>
        <v>805.815</v>
      </c>
      <c r="L1434" t="str">
        <f t="shared" si="5"/>
        <v>8.05815</v>
      </c>
      <c r="M1434" t="str">
        <f t="shared" si="6"/>
        <v>235</v>
      </c>
      <c r="N1434" t="s">
        <v>187</v>
      </c>
      <c r="O1434" t="s">
        <v>2537</v>
      </c>
      <c r="P1434" t="s">
        <v>2538</v>
      </c>
    </row>
    <row r="1435" ht="15.75" customHeight="1">
      <c r="A1435">
        <v>1443.0</v>
      </c>
      <c r="B1435">
        <v>150.0</v>
      </c>
      <c r="C1435">
        <v>72.5</v>
      </c>
      <c r="D1435">
        <v>3.0</v>
      </c>
      <c r="E1435">
        <v>3.7</v>
      </c>
      <c r="F1435">
        <v>2.0</v>
      </c>
      <c r="G1435">
        <v>4.0</v>
      </c>
      <c r="H1435" t="str">
        <f t="shared" si="2"/>
        <v>8</v>
      </c>
      <c r="I1435">
        <v>96.0</v>
      </c>
      <c r="J1435" t="str">
        <f t="shared" si="3"/>
        <v>304.8</v>
      </c>
      <c r="K1435" t="str">
        <f t="shared" si="4"/>
        <v>984.504</v>
      </c>
      <c r="L1435" t="str">
        <f t="shared" si="5"/>
        <v>12.3063</v>
      </c>
      <c r="M1435" t="str">
        <f t="shared" si="6"/>
        <v>323</v>
      </c>
      <c r="N1435" t="s">
        <v>187</v>
      </c>
      <c r="O1435" t="s">
        <v>2539</v>
      </c>
    </row>
    <row r="1436" ht="15.75" customHeight="1">
      <c r="A1436">
        <v>1444.0</v>
      </c>
      <c r="B1436">
        <v>80.0</v>
      </c>
      <c r="C1436">
        <v>187.0</v>
      </c>
      <c r="D1436">
        <v>3.0</v>
      </c>
      <c r="E1436">
        <v>3.5</v>
      </c>
      <c r="F1436">
        <v>4.0</v>
      </c>
      <c r="G1436">
        <v>2.0</v>
      </c>
      <c r="H1436" t="str">
        <f t="shared" si="2"/>
        <v>8</v>
      </c>
      <c r="I1436">
        <v>120.0</v>
      </c>
      <c r="J1436" t="str">
        <f t="shared" si="3"/>
        <v>381</v>
      </c>
      <c r="K1436" t="str">
        <f t="shared" si="4"/>
        <v>1329.69</v>
      </c>
      <c r="L1436" t="str">
        <f t="shared" si="5"/>
        <v>16.621125</v>
      </c>
      <c r="M1436" t="str">
        <f t="shared" si="6"/>
        <v>349</v>
      </c>
      <c r="N1436" t="s">
        <v>187</v>
      </c>
      <c r="O1436" t="s">
        <v>2540</v>
      </c>
    </row>
    <row r="1437" ht="15.75" customHeight="1">
      <c r="A1437">
        <v>1445.0</v>
      </c>
      <c r="B1437">
        <v>25.0</v>
      </c>
      <c r="C1437">
        <v>75.0</v>
      </c>
      <c r="D1437">
        <v>3.0</v>
      </c>
      <c r="E1437">
        <v>2.7875</v>
      </c>
      <c r="F1437">
        <v>11.0</v>
      </c>
      <c r="G1437">
        <v>4.0</v>
      </c>
      <c r="H1437" t="str">
        <f t="shared" si="2"/>
        <v>44</v>
      </c>
      <c r="I1437">
        <v>98.0</v>
      </c>
      <c r="J1437" t="str">
        <f t="shared" si="3"/>
        <v>311.15</v>
      </c>
      <c r="K1437" t="str">
        <f t="shared" si="4"/>
        <v>1011.2375</v>
      </c>
      <c r="L1437" t="str">
        <f t="shared" si="5"/>
        <v>2.298267045</v>
      </c>
      <c r="M1437" t="str">
        <f t="shared" si="6"/>
        <v>325</v>
      </c>
      <c r="N1437" t="s">
        <v>182</v>
      </c>
      <c r="O1437" t="s">
        <v>2541</v>
      </c>
    </row>
    <row r="1438" ht="15.75" customHeight="1">
      <c r="A1438">
        <v>1446.0</v>
      </c>
      <c r="B1438">
        <v>155.0</v>
      </c>
      <c r="C1438">
        <v>276.0</v>
      </c>
      <c r="D1438">
        <v>3.0</v>
      </c>
      <c r="E1438">
        <v>3.4</v>
      </c>
      <c r="F1438">
        <v>2.0</v>
      </c>
      <c r="G1438">
        <v>1.0</v>
      </c>
      <c r="H1438" t="str">
        <f t="shared" si="2"/>
        <v>2</v>
      </c>
      <c r="I1438">
        <v>88.0</v>
      </c>
      <c r="J1438" t="str">
        <f t="shared" si="3"/>
        <v>279.4</v>
      </c>
      <c r="K1438" t="str">
        <f t="shared" si="4"/>
        <v>930.402</v>
      </c>
      <c r="L1438" t="str">
        <f t="shared" si="5"/>
        <v>46.5201</v>
      </c>
      <c r="M1438" t="str">
        <f t="shared" si="6"/>
        <v>333</v>
      </c>
      <c r="N1438" t="s">
        <v>187</v>
      </c>
      <c r="O1438" t="s">
        <v>2542</v>
      </c>
    </row>
    <row r="1439" ht="15.75" customHeight="1">
      <c r="A1439">
        <v>1447.0</v>
      </c>
      <c r="B1439">
        <v>90.0</v>
      </c>
      <c r="C1439">
        <v>164.0</v>
      </c>
      <c r="D1439">
        <v>3.0</v>
      </c>
      <c r="E1439">
        <v>2.69</v>
      </c>
      <c r="F1439">
        <v>2.0</v>
      </c>
      <c r="G1439">
        <v>2.0</v>
      </c>
      <c r="H1439" t="str">
        <f t="shared" si="2"/>
        <v>4</v>
      </c>
      <c r="I1439">
        <v>105.0</v>
      </c>
      <c r="J1439" t="str">
        <f t="shared" si="3"/>
        <v>333.375</v>
      </c>
      <c r="K1439" t="str">
        <f t="shared" si="4"/>
        <v>676.75125</v>
      </c>
      <c r="L1439" t="str">
        <f t="shared" si="5"/>
        <v>16.91878125</v>
      </c>
      <c r="M1439" t="str">
        <f t="shared" si="6"/>
        <v>203</v>
      </c>
      <c r="N1439" t="s">
        <v>182</v>
      </c>
      <c r="O1439" t="s">
        <v>2543</v>
      </c>
    </row>
    <row r="1440" ht="15.75" customHeight="1">
      <c r="A1440">
        <v>1448.0</v>
      </c>
      <c r="B1440">
        <v>48.0</v>
      </c>
      <c r="C1440">
        <v>123.0</v>
      </c>
      <c r="D1440">
        <v>3.0</v>
      </c>
      <c r="E1440">
        <v>4.0</v>
      </c>
      <c r="F1440">
        <v>6.0</v>
      </c>
      <c r="G1440">
        <v>3.0</v>
      </c>
      <c r="H1440" t="str">
        <f t="shared" si="2"/>
        <v>18</v>
      </c>
      <c r="I1440">
        <v>120.0</v>
      </c>
      <c r="J1440" t="str">
        <f t="shared" si="3"/>
        <v>381</v>
      </c>
      <c r="K1440" t="str">
        <f t="shared" si="4"/>
        <v>1230.63</v>
      </c>
      <c r="L1440" t="str">
        <f t="shared" si="5"/>
        <v>6.836833333</v>
      </c>
      <c r="M1440" t="str">
        <f t="shared" si="6"/>
        <v>323</v>
      </c>
      <c r="N1440" t="s">
        <v>182</v>
      </c>
      <c r="O1440" t="s">
        <v>2544</v>
      </c>
    </row>
    <row r="1441" ht="15.75" customHeight="1">
      <c r="A1441">
        <v>1449.0</v>
      </c>
      <c r="B1441">
        <v>25.0</v>
      </c>
      <c r="C1441">
        <v>60.0</v>
      </c>
      <c r="D1441">
        <v>3.0</v>
      </c>
      <c r="E1441">
        <v>3.5</v>
      </c>
      <c r="F1441">
        <v>12.0</v>
      </c>
      <c r="G1441">
        <v>6.0</v>
      </c>
      <c r="H1441" t="str">
        <f t="shared" si="2"/>
        <v>72</v>
      </c>
      <c r="I1441">
        <v>120.0</v>
      </c>
      <c r="J1441" t="str">
        <f t="shared" si="3"/>
        <v>381</v>
      </c>
      <c r="K1441" t="str">
        <f t="shared" si="4"/>
        <v>1344.93</v>
      </c>
      <c r="L1441" t="str">
        <f t="shared" si="5"/>
        <v>1.867958333</v>
      </c>
      <c r="M1441" t="str">
        <f t="shared" si="6"/>
        <v>353</v>
      </c>
      <c r="N1441" t="s">
        <v>182</v>
      </c>
      <c r="O1441" t="s">
        <v>2544</v>
      </c>
    </row>
    <row r="1442" ht="15.75" customHeight="1">
      <c r="A1442">
        <v>1450.0</v>
      </c>
      <c r="B1442">
        <v>25.0</v>
      </c>
      <c r="C1442">
        <v>60.0</v>
      </c>
      <c r="D1442">
        <v>3.0</v>
      </c>
      <c r="E1442" t="str">
        <f>(J1442/G1442)-C1442</f>
        <v>3.5</v>
      </c>
      <c r="F1442">
        <v>11.0</v>
      </c>
      <c r="G1442">
        <v>6.0</v>
      </c>
      <c r="H1442" t="str">
        <f t="shared" si="2"/>
        <v>66</v>
      </c>
      <c r="I1442">
        <v>120.0</v>
      </c>
      <c r="J1442" t="str">
        <f t="shared" si="3"/>
        <v>381</v>
      </c>
      <c r="K1442" t="str">
        <f t="shared" si="4"/>
        <v>1238.25</v>
      </c>
      <c r="L1442" t="str">
        <f t="shared" si="5"/>
        <v>1.876136364</v>
      </c>
      <c r="M1442" t="str">
        <f t="shared" si="6"/>
        <v>325</v>
      </c>
      <c r="N1442" t="s">
        <v>182</v>
      </c>
      <c r="O1442" t="s">
        <v>2545</v>
      </c>
    </row>
    <row r="1443" ht="15.75" customHeight="1">
      <c r="A1443">
        <v>1451.0</v>
      </c>
      <c r="B1443">
        <v>92.0</v>
      </c>
      <c r="C1443">
        <v>92.0</v>
      </c>
      <c r="D1443">
        <v>3.0</v>
      </c>
      <c r="E1443">
        <v>3.25</v>
      </c>
      <c r="F1443">
        <v>2.0</v>
      </c>
      <c r="G1443">
        <v>4.0</v>
      </c>
      <c r="H1443" t="str">
        <f t="shared" si="2"/>
        <v>8</v>
      </c>
      <c r="I1443">
        <v>120.0</v>
      </c>
      <c r="J1443" t="str">
        <f t="shared" si="3"/>
        <v>381</v>
      </c>
      <c r="K1443" t="str">
        <f t="shared" si="4"/>
        <v>788.67</v>
      </c>
      <c r="L1443" t="str">
        <f t="shared" si="5"/>
        <v>9.858375</v>
      </c>
      <c r="M1443" t="str">
        <f t="shared" si="6"/>
        <v>207</v>
      </c>
      <c r="N1443" t="s">
        <v>182</v>
      </c>
      <c r="O1443" t="s">
        <v>2546</v>
      </c>
      <c r="P1443" s="126" t="s">
        <v>2547</v>
      </c>
    </row>
    <row r="1444" ht="15.75" customHeight="1">
      <c r="A1444">
        <v>1452.0</v>
      </c>
      <c r="B1444">
        <v>27.0</v>
      </c>
      <c r="C1444">
        <v>27.0</v>
      </c>
      <c r="D1444">
        <v>3.0</v>
      </c>
      <c r="E1444">
        <v>3.34</v>
      </c>
      <c r="F1444">
        <v>10.0</v>
      </c>
      <c r="G1444">
        <v>9.0</v>
      </c>
      <c r="H1444" t="str">
        <f t="shared" si="2"/>
        <v>90</v>
      </c>
      <c r="I1444">
        <v>86.0</v>
      </c>
      <c r="J1444" t="str">
        <f t="shared" si="3"/>
        <v>273.05</v>
      </c>
      <c r="K1444" t="str">
        <f t="shared" si="4"/>
        <v>865.5685</v>
      </c>
      <c r="L1444" t="str">
        <f t="shared" si="5"/>
        <v>0.9617427778</v>
      </c>
      <c r="M1444" t="str">
        <f t="shared" si="6"/>
        <v>317</v>
      </c>
      <c r="N1444" t="s">
        <v>182</v>
      </c>
      <c r="O1444" t="s">
        <v>2548</v>
      </c>
      <c r="P1444" s="126" t="s">
        <v>2549</v>
      </c>
    </row>
    <row r="1445" ht="15.75" customHeight="1">
      <c r="A1445">
        <v>1453.0</v>
      </c>
      <c r="B1445">
        <v>27.0</v>
      </c>
      <c r="C1445">
        <v>27.0</v>
      </c>
      <c r="D1445">
        <v>3.0</v>
      </c>
      <c r="E1445" t="str">
        <f t="shared" ref="E1445:E1610" si="7">(J1445/G1445)-C1445</f>
        <v>3.338888889</v>
      </c>
      <c r="F1445">
        <v>10.0</v>
      </c>
      <c r="G1445">
        <v>9.0</v>
      </c>
      <c r="H1445" t="str">
        <f t="shared" si="2"/>
        <v>90</v>
      </c>
      <c r="I1445">
        <v>86.0</v>
      </c>
      <c r="J1445" t="str">
        <f t="shared" si="3"/>
        <v>273.05</v>
      </c>
      <c r="K1445" t="str">
        <f t="shared" si="4"/>
        <v>865.5685</v>
      </c>
      <c r="L1445" t="str">
        <f t="shared" si="5"/>
        <v>0.9617427778</v>
      </c>
      <c r="M1445" t="str">
        <f t="shared" si="6"/>
        <v>317</v>
      </c>
      <c r="N1445" t="s">
        <v>182</v>
      </c>
      <c r="O1445" t="s">
        <v>2550</v>
      </c>
      <c r="P1445" s="126" t="s">
        <v>2551</v>
      </c>
    </row>
    <row r="1446" ht="15.75" customHeight="1">
      <c r="A1446">
        <v>1454.0</v>
      </c>
      <c r="B1446">
        <v>45.0</v>
      </c>
      <c r="C1446">
        <v>92.0</v>
      </c>
      <c r="D1446">
        <v>3.0</v>
      </c>
      <c r="E1446" t="str">
        <f t="shared" si="7"/>
        <v>3.25</v>
      </c>
      <c r="F1446">
        <v>6.0</v>
      </c>
      <c r="G1446">
        <v>3.0</v>
      </c>
      <c r="H1446" t="str">
        <f t="shared" si="2"/>
        <v>18</v>
      </c>
      <c r="I1446">
        <v>90.0</v>
      </c>
      <c r="J1446" t="str">
        <f t="shared" si="3"/>
        <v>285.75</v>
      </c>
      <c r="K1446" t="str">
        <f t="shared" si="4"/>
        <v>871.5375</v>
      </c>
      <c r="L1446" t="str">
        <f t="shared" si="5"/>
        <v>4.841875</v>
      </c>
      <c r="M1446" t="str">
        <f t="shared" si="6"/>
        <v>305</v>
      </c>
      <c r="N1446" t="s">
        <v>187</v>
      </c>
      <c r="O1446" t="s">
        <v>2552</v>
      </c>
      <c r="P1446" s="126" t="s">
        <v>2553</v>
      </c>
    </row>
    <row r="1447" ht="15.75" customHeight="1">
      <c r="A1447">
        <v>1455.0</v>
      </c>
      <c r="B1447">
        <v>40.0</v>
      </c>
      <c r="C1447">
        <v>40.0</v>
      </c>
      <c r="D1447">
        <v>3.0</v>
      </c>
      <c r="E1447" t="str">
        <f t="shared" si="7"/>
        <v>2.8625</v>
      </c>
      <c r="F1447">
        <v>8.0</v>
      </c>
      <c r="G1447">
        <v>8.0</v>
      </c>
      <c r="H1447" t="str">
        <f t="shared" si="2"/>
        <v>64</v>
      </c>
      <c r="I1447">
        <v>108.0</v>
      </c>
      <c r="J1447" t="str">
        <f t="shared" si="3"/>
        <v>342.9</v>
      </c>
      <c r="K1447" t="str">
        <f t="shared" si="4"/>
        <v>1237.869</v>
      </c>
      <c r="L1447" t="str">
        <f t="shared" si="5"/>
        <v>1.934170313</v>
      </c>
      <c r="M1447" t="str">
        <f t="shared" si="6"/>
        <v>361</v>
      </c>
      <c r="N1447" t="s">
        <v>187</v>
      </c>
      <c r="O1447" t="s">
        <v>2554</v>
      </c>
      <c r="P1447" t="s">
        <v>2555</v>
      </c>
    </row>
    <row r="1448" ht="15.75" customHeight="1">
      <c r="A1448">
        <v>1456.0</v>
      </c>
      <c r="B1448">
        <v>38.0</v>
      </c>
      <c r="C1448">
        <v>38.0</v>
      </c>
      <c r="D1448">
        <v>3.0</v>
      </c>
      <c r="E1448" t="str">
        <f t="shared" si="7"/>
        <v>2.821428571</v>
      </c>
      <c r="F1448">
        <v>8.0</v>
      </c>
      <c r="G1448">
        <v>7.0</v>
      </c>
      <c r="H1448" t="str">
        <f t="shared" si="2"/>
        <v>56</v>
      </c>
      <c r="I1448">
        <v>90.0</v>
      </c>
      <c r="J1448" t="str">
        <f t="shared" si="3"/>
        <v>285.75</v>
      </c>
      <c r="K1448" t="str">
        <f t="shared" si="4"/>
        <v>985.8375</v>
      </c>
      <c r="L1448" t="str">
        <f t="shared" si="5"/>
        <v>1.760424107</v>
      </c>
      <c r="M1448" t="str">
        <f t="shared" si="6"/>
        <v>345</v>
      </c>
      <c r="N1448" t="s">
        <v>187</v>
      </c>
      <c r="O1448" t="s">
        <v>2556</v>
      </c>
      <c r="P1448" t="s">
        <v>2555</v>
      </c>
    </row>
    <row r="1449" ht="15.75" customHeight="1">
      <c r="A1449">
        <v>1457.0</v>
      </c>
      <c r="B1449">
        <v>52.0</v>
      </c>
      <c r="C1449">
        <v>135.0</v>
      </c>
      <c r="D1449">
        <v>3.0</v>
      </c>
      <c r="E1449" t="str">
        <f t="shared" si="7"/>
        <v>4.7</v>
      </c>
      <c r="F1449">
        <v>5.0</v>
      </c>
      <c r="G1449">
        <v>2.0</v>
      </c>
      <c r="H1449" t="str">
        <f t="shared" si="2"/>
        <v>10</v>
      </c>
      <c r="I1449">
        <v>88.0</v>
      </c>
      <c r="J1449" t="str">
        <f t="shared" si="3"/>
        <v>279.4</v>
      </c>
      <c r="K1449" t="str">
        <f t="shared" si="4"/>
        <v>815.848</v>
      </c>
      <c r="L1449" t="str">
        <f t="shared" si="5"/>
        <v>8.15848</v>
      </c>
      <c r="M1449" t="str">
        <f t="shared" si="6"/>
        <v>292</v>
      </c>
      <c r="N1449" t="s">
        <v>187</v>
      </c>
      <c r="O1449" t="s">
        <v>2557</v>
      </c>
      <c r="P1449" t="s">
        <v>2558</v>
      </c>
    </row>
    <row r="1450" ht="15.75" customHeight="1">
      <c r="A1450">
        <v>1458.0</v>
      </c>
      <c r="B1450">
        <v>90.0</v>
      </c>
      <c r="C1450">
        <v>90.0</v>
      </c>
      <c r="D1450">
        <v>3.0</v>
      </c>
      <c r="E1450" t="str">
        <f t="shared" si="7"/>
        <v>3.133333333</v>
      </c>
      <c r="F1450">
        <v>2.0</v>
      </c>
      <c r="G1450">
        <v>3.0</v>
      </c>
      <c r="H1450" t="str">
        <f t="shared" si="2"/>
        <v>6</v>
      </c>
      <c r="I1450">
        <v>88.0</v>
      </c>
      <c r="J1450" t="str">
        <f t="shared" si="3"/>
        <v>279.4</v>
      </c>
      <c r="K1450" t="str">
        <f t="shared" si="4"/>
        <v>567.182</v>
      </c>
      <c r="L1450" t="str">
        <f t="shared" si="5"/>
        <v>9.453033333</v>
      </c>
      <c r="M1450" t="str">
        <f t="shared" si="6"/>
        <v>203</v>
      </c>
      <c r="N1450" t="s">
        <v>182</v>
      </c>
      <c r="O1450" t="s">
        <v>2559</v>
      </c>
    </row>
    <row r="1451" ht="15.75" customHeight="1">
      <c r="A1451">
        <v>1459.0</v>
      </c>
      <c r="B1451">
        <v>100.0</v>
      </c>
      <c r="C1451">
        <v>60.0</v>
      </c>
      <c r="D1451">
        <v>3.0</v>
      </c>
      <c r="E1451" t="str">
        <f t="shared" si="7"/>
        <v>3.5</v>
      </c>
      <c r="F1451">
        <v>2.0</v>
      </c>
      <c r="G1451">
        <v>6.0</v>
      </c>
      <c r="H1451" t="str">
        <f t="shared" si="2"/>
        <v>12</v>
      </c>
      <c r="I1451">
        <v>120.0</v>
      </c>
      <c r="J1451" t="str">
        <f t="shared" si="3"/>
        <v>381</v>
      </c>
      <c r="K1451" t="str">
        <f t="shared" si="4"/>
        <v>849.63</v>
      </c>
      <c r="L1451" t="str">
        <f t="shared" si="5"/>
        <v>7.08025</v>
      </c>
      <c r="M1451" t="str">
        <f t="shared" si="6"/>
        <v>223</v>
      </c>
      <c r="N1451" t="s">
        <v>182</v>
      </c>
      <c r="O1451" t="s">
        <v>2560</v>
      </c>
      <c r="P1451" t="s">
        <v>2561</v>
      </c>
    </row>
    <row r="1452" ht="15.75" customHeight="1">
      <c r="A1452">
        <v>1460.0</v>
      </c>
      <c r="B1452">
        <v>38.0</v>
      </c>
      <c r="C1452">
        <v>140.0</v>
      </c>
      <c r="D1452">
        <v>3.0</v>
      </c>
      <c r="E1452" t="str">
        <f t="shared" si="7"/>
        <v>2.875</v>
      </c>
      <c r="F1452">
        <v>6.0</v>
      </c>
      <c r="G1452">
        <v>2.0</v>
      </c>
      <c r="H1452" t="str">
        <f t="shared" si="2"/>
        <v>12</v>
      </c>
      <c r="I1452">
        <v>90.0</v>
      </c>
      <c r="J1452" t="str">
        <f t="shared" si="3"/>
        <v>285.75</v>
      </c>
      <c r="K1452" t="str">
        <f t="shared" si="4"/>
        <v>751.5225</v>
      </c>
      <c r="L1452" t="str">
        <f t="shared" si="5"/>
        <v>6.2626875</v>
      </c>
      <c r="M1452" t="str">
        <f t="shared" si="6"/>
        <v>263</v>
      </c>
      <c r="N1452" t="s">
        <v>187</v>
      </c>
      <c r="O1452" t="s">
        <v>2562</v>
      </c>
    </row>
    <row r="1453" ht="15.75" customHeight="1">
      <c r="A1453">
        <v>1461.0</v>
      </c>
      <c r="B1453">
        <v>200.0</v>
      </c>
      <c r="C1453">
        <v>134.0</v>
      </c>
      <c r="D1453">
        <v>3.0</v>
      </c>
      <c r="E1453" t="str">
        <f t="shared" si="7"/>
        <v>5.7</v>
      </c>
      <c r="F1453">
        <v>2.0</v>
      </c>
      <c r="G1453">
        <v>3.0</v>
      </c>
      <c r="H1453" t="str">
        <f t="shared" si="2"/>
        <v>6</v>
      </c>
      <c r="I1453">
        <v>132.0</v>
      </c>
      <c r="J1453" t="str">
        <f t="shared" si="3"/>
        <v>419.1</v>
      </c>
      <c r="K1453" t="str">
        <f t="shared" si="4"/>
        <v>1772.793</v>
      </c>
      <c r="L1453" t="str">
        <f t="shared" si="5"/>
        <v>29.54655</v>
      </c>
      <c r="M1453" t="str">
        <f t="shared" si="6"/>
        <v>423</v>
      </c>
      <c r="N1453" t="s">
        <v>187</v>
      </c>
      <c r="O1453" t="s">
        <v>2563</v>
      </c>
      <c r="P1453" s="126" t="s">
        <v>2564</v>
      </c>
    </row>
    <row r="1454" ht="15.75" customHeight="1">
      <c r="A1454">
        <v>1462.0</v>
      </c>
      <c r="B1454">
        <v>205.0</v>
      </c>
      <c r="C1454">
        <v>123.0</v>
      </c>
      <c r="D1454">
        <v>3.0</v>
      </c>
      <c r="E1454" t="str">
        <f t="shared" si="7"/>
        <v>4</v>
      </c>
      <c r="F1454">
        <v>1.0</v>
      </c>
      <c r="G1454">
        <v>3.0</v>
      </c>
      <c r="H1454" t="str">
        <f t="shared" si="2"/>
        <v>3</v>
      </c>
      <c r="I1454">
        <v>120.0</v>
      </c>
      <c r="J1454" t="str">
        <f t="shared" si="3"/>
        <v>381</v>
      </c>
      <c r="K1454" t="str">
        <f t="shared" si="4"/>
        <v>857.25</v>
      </c>
      <c r="L1454" t="str">
        <f t="shared" si="5"/>
        <v>28.575</v>
      </c>
      <c r="M1454" t="str">
        <f t="shared" si="6"/>
        <v>225</v>
      </c>
      <c r="N1454" t="s">
        <v>187</v>
      </c>
      <c r="O1454" t="s">
        <v>2565</v>
      </c>
      <c r="P1454" t="s">
        <v>2566</v>
      </c>
    </row>
    <row r="1455" ht="15.75" customHeight="1">
      <c r="A1455">
        <v>1463.0</v>
      </c>
      <c r="B1455">
        <v>96.0</v>
      </c>
      <c r="C1455">
        <v>121.0</v>
      </c>
      <c r="D1455">
        <v>3.0</v>
      </c>
      <c r="E1455" t="str">
        <f t="shared" si="7"/>
        <v>6</v>
      </c>
      <c r="F1455">
        <v>3.0</v>
      </c>
      <c r="G1455">
        <v>3.0</v>
      </c>
      <c r="H1455" t="str">
        <f t="shared" si="2"/>
        <v>9</v>
      </c>
      <c r="I1455">
        <v>120.0</v>
      </c>
      <c r="J1455" t="str">
        <f t="shared" si="3"/>
        <v>381</v>
      </c>
      <c r="K1455" t="str">
        <f t="shared" si="4"/>
        <v>1196.34</v>
      </c>
      <c r="L1455" t="str">
        <f t="shared" si="5"/>
        <v>13.29266667</v>
      </c>
      <c r="M1455" t="str">
        <f t="shared" si="6"/>
        <v>314</v>
      </c>
      <c r="N1455" t="s">
        <v>187</v>
      </c>
      <c r="O1455" t="s">
        <v>2567</v>
      </c>
      <c r="P1455" t="s">
        <v>2568</v>
      </c>
    </row>
    <row r="1456" ht="15.75" customHeight="1">
      <c r="A1456">
        <v>1464.0</v>
      </c>
      <c r="B1456">
        <v>186.0</v>
      </c>
      <c r="C1456">
        <v>98.0</v>
      </c>
      <c r="D1456">
        <v>5.0</v>
      </c>
      <c r="E1456" t="str">
        <f t="shared" si="7"/>
        <v>3.6</v>
      </c>
      <c r="F1456">
        <v>2.0</v>
      </c>
      <c r="G1456">
        <v>3.0</v>
      </c>
      <c r="H1456" t="str">
        <f t="shared" si="2"/>
        <v>6</v>
      </c>
      <c r="I1456">
        <v>96.0</v>
      </c>
      <c r="J1456" t="str">
        <f t="shared" si="3"/>
        <v>304.8</v>
      </c>
      <c r="K1456" t="str">
        <f t="shared" si="4"/>
        <v>1216.152</v>
      </c>
      <c r="L1456" t="str">
        <f t="shared" si="5"/>
        <v>20.2692</v>
      </c>
      <c r="M1456" t="str">
        <f t="shared" si="6"/>
        <v>399</v>
      </c>
      <c r="N1456" t="s">
        <v>187</v>
      </c>
      <c r="O1456" t="s">
        <v>2569</v>
      </c>
      <c r="P1456" s="126" t="s">
        <v>2570</v>
      </c>
    </row>
    <row r="1457" ht="15.75" customHeight="1">
      <c r="A1457">
        <v>1465.0</v>
      </c>
      <c r="B1457">
        <v>90.001</v>
      </c>
      <c r="C1457">
        <v>50.0</v>
      </c>
      <c r="D1457">
        <v>3.0</v>
      </c>
      <c r="E1457" t="str">
        <f t="shared" si="7"/>
        <v>7.15</v>
      </c>
      <c r="F1457">
        <v>3.0</v>
      </c>
      <c r="G1457">
        <v>6.0</v>
      </c>
      <c r="H1457" t="str">
        <f t="shared" si="2"/>
        <v>18</v>
      </c>
      <c r="I1457">
        <v>108.0</v>
      </c>
      <c r="J1457" t="str">
        <f t="shared" si="3"/>
        <v>342.9</v>
      </c>
      <c r="K1457" t="str">
        <f t="shared" si="4"/>
        <v>1014.994287</v>
      </c>
      <c r="L1457" t="str">
        <f t="shared" si="5"/>
        <v>5.63885715</v>
      </c>
      <c r="M1457" t="str">
        <f t="shared" si="6"/>
        <v>296.003</v>
      </c>
      <c r="N1457" t="s">
        <v>187</v>
      </c>
      <c r="O1457" t="s">
        <v>2571</v>
      </c>
    </row>
    <row r="1458" ht="15.75" customHeight="1">
      <c r="A1458">
        <v>1466.0</v>
      </c>
      <c r="B1458">
        <v>17.0</v>
      </c>
      <c r="C1458">
        <v>63.0</v>
      </c>
      <c r="D1458">
        <v>3.0</v>
      </c>
      <c r="E1458" t="str">
        <f t="shared" si="7"/>
        <v>3.675</v>
      </c>
      <c r="F1458">
        <v>16.0</v>
      </c>
      <c r="G1458">
        <v>4.0</v>
      </c>
      <c r="H1458" t="str">
        <f t="shared" si="2"/>
        <v>64</v>
      </c>
      <c r="I1458">
        <v>84.0</v>
      </c>
      <c r="J1458" t="str">
        <f t="shared" si="3"/>
        <v>266.7</v>
      </c>
      <c r="K1458" t="str">
        <f t="shared" si="4"/>
        <v>898.779</v>
      </c>
      <c r="L1458" t="str">
        <f t="shared" si="5"/>
        <v>1.404342188</v>
      </c>
      <c r="M1458" t="str">
        <f t="shared" si="6"/>
        <v>337</v>
      </c>
      <c r="N1458" t="s">
        <v>182</v>
      </c>
      <c r="O1458" t="s">
        <v>2572</v>
      </c>
    </row>
    <row r="1459" ht="15.75" customHeight="1">
      <c r="A1459">
        <v>1467.0</v>
      </c>
      <c r="B1459">
        <v>45.0</v>
      </c>
      <c r="C1459">
        <v>55.0</v>
      </c>
      <c r="D1459">
        <v>3.0</v>
      </c>
      <c r="E1459" t="str">
        <f t="shared" si="7"/>
        <v>3.208333333</v>
      </c>
      <c r="F1459">
        <v>5.0</v>
      </c>
      <c r="G1459">
        <v>6.0</v>
      </c>
      <c r="H1459" t="str">
        <f t="shared" si="2"/>
        <v>30</v>
      </c>
      <c r="I1459">
        <v>110.0</v>
      </c>
      <c r="J1459" t="str">
        <f t="shared" si="3"/>
        <v>349.25</v>
      </c>
      <c r="K1459" t="str">
        <f t="shared" si="4"/>
        <v>897.5725</v>
      </c>
      <c r="L1459" t="str">
        <f t="shared" si="5"/>
        <v>2.991908333</v>
      </c>
      <c r="M1459" t="str">
        <f t="shared" si="6"/>
        <v>257</v>
      </c>
      <c r="N1459" t="s">
        <v>187</v>
      </c>
      <c r="O1459" t="s">
        <v>2573</v>
      </c>
    </row>
    <row r="1460" ht="15.75" customHeight="1">
      <c r="A1460">
        <v>1468.0</v>
      </c>
      <c r="B1460">
        <v>165.0</v>
      </c>
      <c r="C1460">
        <v>80.0</v>
      </c>
      <c r="D1460">
        <v>3.0</v>
      </c>
      <c r="E1460" t="str">
        <f t="shared" si="7"/>
        <v>7.3125</v>
      </c>
      <c r="F1460">
        <v>2.0</v>
      </c>
      <c r="G1460">
        <v>4.0</v>
      </c>
      <c r="H1460" t="str">
        <f t="shared" si="2"/>
        <v>8</v>
      </c>
      <c r="I1460">
        <v>110.0</v>
      </c>
      <c r="J1460" t="str">
        <f t="shared" si="3"/>
        <v>349.25</v>
      </c>
      <c r="K1460" t="str">
        <f t="shared" si="4"/>
        <v>1232.8525</v>
      </c>
      <c r="L1460" t="str">
        <f t="shared" si="5"/>
        <v>15.41065625</v>
      </c>
      <c r="M1460" t="str">
        <f t="shared" si="6"/>
        <v>353</v>
      </c>
      <c r="N1460" t="s">
        <v>187</v>
      </c>
      <c r="O1460" t="s">
        <v>2574</v>
      </c>
    </row>
    <row r="1461" ht="15.75" customHeight="1">
      <c r="A1461">
        <v>1469.0</v>
      </c>
      <c r="B1461">
        <v>163.0</v>
      </c>
      <c r="C1461">
        <v>283.0</v>
      </c>
      <c r="D1461">
        <v>3.0</v>
      </c>
      <c r="E1461" t="str">
        <f t="shared" si="7"/>
        <v>2.75</v>
      </c>
      <c r="F1461">
        <v>2.0</v>
      </c>
      <c r="G1461">
        <v>1.0</v>
      </c>
      <c r="H1461" t="str">
        <f t="shared" si="2"/>
        <v>2</v>
      </c>
      <c r="I1461">
        <v>90.0</v>
      </c>
      <c r="J1461" t="str">
        <f t="shared" si="3"/>
        <v>285.75</v>
      </c>
      <c r="K1461" t="str">
        <f t="shared" si="4"/>
        <v>997.2675</v>
      </c>
      <c r="L1461" t="str">
        <f t="shared" si="5"/>
        <v>49.863375</v>
      </c>
      <c r="M1461" t="str">
        <f t="shared" si="6"/>
        <v>349</v>
      </c>
      <c r="N1461" t="s">
        <v>187</v>
      </c>
      <c r="O1461" t="s">
        <v>2575</v>
      </c>
    </row>
    <row r="1462" ht="15.75" customHeight="1">
      <c r="A1462">
        <v>1470.0</v>
      </c>
      <c r="B1462">
        <v>220.0</v>
      </c>
      <c r="C1462">
        <v>300.0</v>
      </c>
      <c r="D1462">
        <v>3.0</v>
      </c>
      <c r="E1462" t="str">
        <f t="shared" si="7"/>
        <v>4.8</v>
      </c>
      <c r="F1462">
        <v>1.0</v>
      </c>
      <c r="G1462">
        <v>1.0</v>
      </c>
      <c r="H1462" t="str">
        <f t="shared" si="2"/>
        <v>1</v>
      </c>
      <c r="I1462">
        <v>96.0</v>
      </c>
      <c r="J1462" t="str">
        <f t="shared" si="3"/>
        <v>304.8</v>
      </c>
      <c r="K1462" t="str">
        <f t="shared" si="4"/>
        <v>731.52</v>
      </c>
      <c r="L1462" t="str">
        <f t="shared" si="5"/>
        <v>73.152</v>
      </c>
      <c r="M1462" t="str">
        <f t="shared" si="6"/>
        <v>240</v>
      </c>
      <c r="N1462" t="s">
        <v>187</v>
      </c>
      <c r="O1462" t="s">
        <v>2576</v>
      </c>
    </row>
    <row r="1463" ht="15.75" customHeight="1">
      <c r="A1463">
        <v>1471.0</v>
      </c>
      <c r="B1463">
        <v>95.0</v>
      </c>
      <c r="C1463">
        <v>75.0</v>
      </c>
      <c r="D1463">
        <v>5.0</v>
      </c>
      <c r="E1463" t="str">
        <f t="shared" si="7"/>
        <v>2.7875</v>
      </c>
      <c r="F1463">
        <v>2.0</v>
      </c>
      <c r="G1463">
        <v>4.0</v>
      </c>
      <c r="H1463" t="str">
        <f t="shared" si="2"/>
        <v>8</v>
      </c>
      <c r="I1463">
        <v>98.0</v>
      </c>
      <c r="J1463" t="str">
        <f t="shared" si="3"/>
        <v>311.15</v>
      </c>
      <c r="K1463" t="str">
        <f t="shared" si="4"/>
        <v>675.1955</v>
      </c>
      <c r="L1463" t="str">
        <f t="shared" si="5"/>
        <v>8.43994375</v>
      </c>
      <c r="M1463" t="str">
        <f t="shared" si="6"/>
        <v>217</v>
      </c>
      <c r="N1463" t="s">
        <v>187</v>
      </c>
      <c r="O1463" t="s">
        <v>2577</v>
      </c>
      <c r="P1463" t="s">
        <v>2578</v>
      </c>
    </row>
    <row r="1464" ht="15.75" customHeight="1">
      <c r="A1464">
        <v>1472.0</v>
      </c>
      <c r="B1464">
        <v>196.0</v>
      </c>
      <c r="C1464">
        <v>152.0</v>
      </c>
      <c r="D1464">
        <v>5.0</v>
      </c>
      <c r="E1464" t="str">
        <f t="shared" si="7"/>
        <v>3.575</v>
      </c>
      <c r="F1464">
        <v>2.0</v>
      </c>
      <c r="G1464">
        <v>2.0</v>
      </c>
      <c r="H1464" t="str">
        <f t="shared" si="2"/>
        <v>4</v>
      </c>
      <c r="I1464">
        <v>98.0</v>
      </c>
      <c r="J1464" t="str">
        <f t="shared" si="3"/>
        <v>311.15</v>
      </c>
      <c r="K1464" t="str">
        <f t="shared" si="4"/>
        <v>1303.7185</v>
      </c>
      <c r="L1464" t="str">
        <f t="shared" si="5"/>
        <v>32.5929625</v>
      </c>
      <c r="M1464" t="str">
        <f t="shared" si="6"/>
        <v>419</v>
      </c>
      <c r="N1464" t="s">
        <v>187</v>
      </c>
      <c r="O1464" t="s">
        <v>2579</v>
      </c>
      <c r="P1464" t="s">
        <v>2580</v>
      </c>
    </row>
    <row r="1465" ht="15.75" customHeight="1">
      <c r="A1465">
        <v>1473.0</v>
      </c>
      <c r="B1465">
        <v>130.0</v>
      </c>
      <c r="C1465">
        <v>63.0</v>
      </c>
      <c r="D1465">
        <v>3.0</v>
      </c>
      <c r="E1465" t="str">
        <f t="shared" si="7"/>
        <v>3.675</v>
      </c>
      <c r="F1465">
        <v>2.0</v>
      </c>
      <c r="G1465">
        <v>4.0</v>
      </c>
      <c r="H1465" t="str">
        <f t="shared" si="2"/>
        <v>8</v>
      </c>
      <c r="I1465">
        <v>84.0</v>
      </c>
      <c r="J1465" t="str">
        <f t="shared" si="3"/>
        <v>266.7</v>
      </c>
      <c r="K1465" t="str">
        <f t="shared" si="4"/>
        <v>754.761</v>
      </c>
      <c r="L1465" t="str">
        <f t="shared" si="5"/>
        <v>9.4345125</v>
      </c>
      <c r="M1465" t="str">
        <f t="shared" si="6"/>
        <v>283</v>
      </c>
      <c r="N1465" t="s">
        <v>187</v>
      </c>
      <c r="O1465" t="s">
        <v>2581</v>
      </c>
      <c r="P1465" t="s">
        <v>2582</v>
      </c>
    </row>
    <row r="1466" ht="15.75" customHeight="1">
      <c r="A1466">
        <v>1474.0</v>
      </c>
      <c r="B1466">
        <v>120.0</v>
      </c>
      <c r="C1466">
        <v>64.0</v>
      </c>
      <c r="D1466">
        <v>3.0</v>
      </c>
      <c r="E1466" t="str">
        <f t="shared" si="7"/>
        <v>4.2625</v>
      </c>
      <c r="F1466">
        <v>1.0</v>
      </c>
      <c r="G1466">
        <v>4.0</v>
      </c>
      <c r="H1466" t="str">
        <f t="shared" si="2"/>
        <v>4</v>
      </c>
      <c r="I1466">
        <v>86.0</v>
      </c>
      <c r="J1466" t="str">
        <f t="shared" si="3"/>
        <v>273.05</v>
      </c>
      <c r="K1466" t="str">
        <f t="shared" si="4"/>
        <v>382.27</v>
      </c>
      <c r="L1466" t="str">
        <f t="shared" si="5"/>
        <v>9.55675</v>
      </c>
      <c r="M1466" t="str">
        <f t="shared" si="6"/>
        <v>140</v>
      </c>
      <c r="N1466" t="s">
        <v>187</v>
      </c>
      <c r="O1466" t="s">
        <v>2583</v>
      </c>
    </row>
    <row r="1467" ht="15.75" customHeight="1">
      <c r="A1467">
        <v>1475.0</v>
      </c>
      <c r="B1467">
        <v>25.0</v>
      </c>
      <c r="C1467">
        <v>25.0</v>
      </c>
      <c r="D1467">
        <v>3.0</v>
      </c>
      <c r="E1467" t="str">
        <f t="shared" si="7"/>
        <v>2.709090909</v>
      </c>
      <c r="F1467">
        <v>11.0</v>
      </c>
      <c r="G1467">
        <v>11.0</v>
      </c>
      <c r="H1467" t="str">
        <f t="shared" si="2"/>
        <v>121</v>
      </c>
      <c r="I1467">
        <v>96.0</v>
      </c>
      <c r="J1467" t="str">
        <f t="shared" si="3"/>
        <v>304.8</v>
      </c>
      <c r="K1467" t="str">
        <f t="shared" si="4"/>
        <v>990.6</v>
      </c>
      <c r="L1467" t="str">
        <f t="shared" si="5"/>
        <v>0.818677686</v>
      </c>
      <c r="M1467" t="str">
        <f t="shared" si="6"/>
        <v>325</v>
      </c>
      <c r="N1467" t="s">
        <v>182</v>
      </c>
      <c r="O1467" t="s">
        <v>2584</v>
      </c>
      <c r="P1467" s="126" t="s">
        <v>2585</v>
      </c>
    </row>
    <row r="1468" ht="15.75" customHeight="1">
      <c r="A1468">
        <v>1476.0</v>
      </c>
      <c r="B1468">
        <v>100.0</v>
      </c>
      <c r="C1468">
        <v>40.0</v>
      </c>
      <c r="D1468">
        <v>3.0</v>
      </c>
      <c r="E1468" t="str">
        <f t="shared" si="7"/>
        <v>2.8625</v>
      </c>
      <c r="F1468">
        <v>3.0</v>
      </c>
      <c r="G1468">
        <v>8.0</v>
      </c>
      <c r="H1468" t="str">
        <f t="shared" si="2"/>
        <v>24</v>
      </c>
      <c r="I1468">
        <v>108.0</v>
      </c>
      <c r="J1468" t="str">
        <f t="shared" si="3"/>
        <v>342.9</v>
      </c>
      <c r="K1468" t="str">
        <f t="shared" si="4"/>
        <v>1117.854</v>
      </c>
      <c r="L1468" t="str">
        <f t="shared" si="5"/>
        <v>4.657725</v>
      </c>
      <c r="M1468" t="str">
        <f t="shared" si="6"/>
        <v>326</v>
      </c>
      <c r="N1468" t="s">
        <v>182</v>
      </c>
      <c r="O1468" t="s">
        <v>2586</v>
      </c>
      <c r="P1468" s="126" t="s">
        <v>2585</v>
      </c>
    </row>
    <row r="1469" ht="15.75" customHeight="1">
      <c r="A1469">
        <v>1477.0</v>
      </c>
      <c r="B1469">
        <v>80.0</v>
      </c>
      <c r="C1469">
        <v>40.0</v>
      </c>
      <c r="D1469">
        <v>3.0</v>
      </c>
      <c r="E1469" t="str">
        <f t="shared" si="7"/>
        <v>2.8625</v>
      </c>
      <c r="F1469">
        <v>4.0</v>
      </c>
      <c r="G1469">
        <v>8.0</v>
      </c>
      <c r="H1469" t="str">
        <f t="shared" si="2"/>
        <v>32</v>
      </c>
      <c r="I1469">
        <v>108.0</v>
      </c>
      <c r="J1469" t="str">
        <f t="shared" si="3"/>
        <v>342.9</v>
      </c>
      <c r="K1469" t="str">
        <f t="shared" si="4"/>
        <v>1196.721</v>
      </c>
      <c r="L1469" t="str">
        <f t="shared" si="5"/>
        <v>3.739753125</v>
      </c>
      <c r="M1469" t="str">
        <f t="shared" si="6"/>
        <v>349</v>
      </c>
      <c r="N1469" t="s">
        <v>182</v>
      </c>
      <c r="O1469" t="s">
        <v>2587</v>
      </c>
      <c r="P1469" s="126" t="s">
        <v>2588</v>
      </c>
    </row>
    <row r="1470" ht="15.75" customHeight="1">
      <c r="A1470">
        <v>1478.0</v>
      </c>
      <c r="B1470">
        <v>75.0</v>
      </c>
      <c r="C1470">
        <v>80.0</v>
      </c>
      <c r="D1470">
        <v>3.0</v>
      </c>
      <c r="E1470" t="str">
        <f t="shared" si="7"/>
        <v>3.34375</v>
      </c>
      <c r="F1470">
        <v>4.0</v>
      </c>
      <c r="G1470">
        <v>4.0</v>
      </c>
      <c r="H1470" t="str">
        <f t="shared" si="2"/>
        <v>16</v>
      </c>
      <c r="I1470">
        <v>105.0</v>
      </c>
      <c r="J1470" t="str">
        <f t="shared" si="3"/>
        <v>333.375</v>
      </c>
      <c r="K1470" t="str">
        <f t="shared" si="4"/>
        <v>1096.80375</v>
      </c>
      <c r="L1470" t="str">
        <f t="shared" si="5"/>
        <v>6.855023438</v>
      </c>
      <c r="M1470" t="str">
        <f t="shared" si="6"/>
        <v>329</v>
      </c>
      <c r="N1470" t="s">
        <v>182</v>
      </c>
      <c r="O1470" t="s">
        <v>2589</v>
      </c>
    </row>
    <row r="1471" ht="15.75" customHeight="1">
      <c r="A1471">
        <v>1479.0</v>
      </c>
      <c r="B1471">
        <v>70.0</v>
      </c>
      <c r="C1471">
        <v>40.0</v>
      </c>
      <c r="D1471">
        <v>3.0</v>
      </c>
      <c r="E1471" t="str">
        <f t="shared" si="7"/>
        <v>2.8625</v>
      </c>
      <c r="F1471">
        <v>4.0</v>
      </c>
      <c r="G1471">
        <v>8.0</v>
      </c>
      <c r="H1471" t="str">
        <f t="shared" si="2"/>
        <v>32</v>
      </c>
      <c r="I1471">
        <v>108.0</v>
      </c>
      <c r="J1471" t="str">
        <f t="shared" si="3"/>
        <v>342.9</v>
      </c>
      <c r="K1471" t="str">
        <f t="shared" si="4"/>
        <v>1059.561</v>
      </c>
      <c r="L1471" t="str">
        <f t="shared" si="5"/>
        <v>3.311128125</v>
      </c>
      <c r="M1471" t="str">
        <f t="shared" si="6"/>
        <v>309</v>
      </c>
      <c r="N1471" t="s">
        <v>182</v>
      </c>
      <c r="O1471" t="s">
        <v>2590</v>
      </c>
      <c r="P1471" s="126" t="s">
        <v>2591</v>
      </c>
    </row>
    <row r="1472" ht="15.75" customHeight="1">
      <c r="A1472">
        <v>1480.0</v>
      </c>
      <c r="B1472">
        <v>137.0</v>
      </c>
      <c r="C1472">
        <v>80.0</v>
      </c>
      <c r="D1472">
        <v>3.0</v>
      </c>
      <c r="E1472" t="str">
        <f t="shared" si="7"/>
        <v>3.34375</v>
      </c>
      <c r="F1472">
        <v>2.0</v>
      </c>
      <c r="G1472">
        <v>4.0</v>
      </c>
      <c r="H1472" t="str">
        <f t="shared" si="2"/>
        <v>8</v>
      </c>
      <c r="I1472">
        <v>105.0</v>
      </c>
      <c r="J1472" t="str">
        <f t="shared" si="3"/>
        <v>333.375</v>
      </c>
      <c r="K1472" t="str">
        <f t="shared" si="4"/>
        <v>990.12375</v>
      </c>
      <c r="L1472" t="str">
        <f t="shared" si="5"/>
        <v>12.37654688</v>
      </c>
      <c r="M1472" t="str">
        <f t="shared" si="6"/>
        <v>297</v>
      </c>
      <c r="N1472" t="s">
        <v>182</v>
      </c>
      <c r="O1472" t="s">
        <v>2592</v>
      </c>
      <c r="P1472" s="126" t="s">
        <v>2591</v>
      </c>
    </row>
    <row r="1473" ht="15.75" customHeight="1">
      <c r="A1473">
        <v>1481.0</v>
      </c>
      <c r="B1473">
        <v>180.0</v>
      </c>
      <c r="C1473">
        <v>125.0</v>
      </c>
      <c r="D1473">
        <v>3.0</v>
      </c>
      <c r="E1473" t="str">
        <f t="shared" si="7"/>
        <v>5.96875</v>
      </c>
      <c r="F1473">
        <v>2.0</v>
      </c>
      <c r="G1473">
        <v>4.0</v>
      </c>
      <c r="H1473" t="str">
        <f t="shared" si="2"/>
        <v>8</v>
      </c>
      <c r="I1473">
        <v>165.0</v>
      </c>
      <c r="J1473" t="str">
        <f t="shared" si="3"/>
        <v>523.875</v>
      </c>
      <c r="K1473" t="str">
        <f t="shared" si="4"/>
        <v>2006.44125</v>
      </c>
      <c r="L1473" t="str">
        <f t="shared" si="5"/>
        <v>25.08051563</v>
      </c>
      <c r="M1473" t="str">
        <f t="shared" si="6"/>
        <v>383</v>
      </c>
      <c r="N1473" t="s">
        <v>187</v>
      </c>
      <c r="O1473" t="s">
        <v>2593</v>
      </c>
      <c r="P1473" s="126" t="s">
        <v>2594</v>
      </c>
    </row>
    <row r="1474" ht="15.75" customHeight="1">
      <c r="A1474">
        <v>1482.0</v>
      </c>
      <c r="B1474">
        <v>145.0</v>
      </c>
      <c r="C1474">
        <v>80.0</v>
      </c>
      <c r="D1474">
        <v>3.0</v>
      </c>
      <c r="E1474" t="str">
        <f t="shared" si="7"/>
        <v>7.3125</v>
      </c>
      <c r="F1474">
        <v>2.0</v>
      </c>
      <c r="G1474">
        <v>4.0</v>
      </c>
      <c r="H1474" t="str">
        <f t="shared" si="2"/>
        <v>8</v>
      </c>
      <c r="I1474">
        <v>110.0</v>
      </c>
      <c r="J1474" t="str">
        <f t="shared" si="3"/>
        <v>349.25</v>
      </c>
      <c r="K1474" t="str">
        <f t="shared" si="4"/>
        <v>1093.1525</v>
      </c>
      <c r="L1474" t="str">
        <f t="shared" si="5"/>
        <v>13.66440625</v>
      </c>
      <c r="M1474" t="str">
        <f t="shared" si="6"/>
        <v>313</v>
      </c>
      <c r="N1474" t="s">
        <v>187</v>
      </c>
      <c r="O1474" t="s">
        <v>2595</v>
      </c>
      <c r="P1474" t="s">
        <v>2596</v>
      </c>
    </row>
    <row r="1475" ht="15.75" customHeight="1">
      <c r="A1475">
        <v>1483.0</v>
      </c>
      <c r="B1475">
        <v>56.0</v>
      </c>
      <c r="C1475">
        <v>31.0</v>
      </c>
      <c r="D1475">
        <v>4.0</v>
      </c>
      <c r="E1475" t="str">
        <f t="shared" si="7"/>
        <v>3.13125</v>
      </c>
      <c r="F1475">
        <v>4.0</v>
      </c>
      <c r="G1475">
        <v>8.0</v>
      </c>
      <c r="H1475" t="str">
        <f t="shared" si="2"/>
        <v>32</v>
      </c>
      <c r="I1475">
        <v>86.0</v>
      </c>
      <c r="J1475" t="str">
        <f t="shared" si="3"/>
        <v>273.05</v>
      </c>
      <c r="K1475" t="str">
        <f t="shared" si="4"/>
        <v>701.7385</v>
      </c>
      <c r="L1475" t="str">
        <f t="shared" si="5"/>
        <v>2.192932813</v>
      </c>
      <c r="M1475" t="str">
        <f t="shared" si="6"/>
        <v>257</v>
      </c>
      <c r="N1475" t="s">
        <v>187</v>
      </c>
      <c r="O1475" t="s">
        <v>2597</v>
      </c>
      <c r="P1475" s="126" t="s">
        <v>2598</v>
      </c>
    </row>
    <row r="1476" ht="15.75" customHeight="1">
      <c r="A1476">
        <v>1484.0</v>
      </c>
      <c r="B1476">
        <v>120.0</v>
      </c>
      <c r="C1476">
        <v>125.0</v>
      </c>
      <c r="D1476">
        <v>5.0</v>
      </c>
      <c r="E1476" t="str">
        <f t="shared" si="7"/>
        <v>8.35</v>
      </c>
      <c r="F1476">
        <v>2.0</v>
      </c>
      <c r="G1476">
        <v>2.0</v>
      </c>
      <c r="H1476" t="str">
        <f t="shared" si="2"/>
        <v>4</v>
      </c>
      <c r="I1476">
        <v>84.0</v>
      </c>
      <c r="J1476" t="str">
        <f t="shared" si="3"/>
        <v>266.7</v>
      </c>
      <c r="K1476" t="str">
        <f t="shared" si="4"/>
        <v>712.089</v>
      </c>
      <c r="L1476" t="str">
        <f t="shared" si="5"/>
        <v>17.802225</v>
      </c>
      <c r="M1476" t="str">
        <f t="shared" si="6"/>
        <v>267</v>
      </c>
      <c r="N1476" t="s">
        <v>182</v>
      </c>
      <c r="O1476" t="s">
        <v>2599</v>
      </c>
      <c r="P1476" s="126" t="s">
        <v>2600</v>
      </c>
    </row>
    <row r="1477" ht="15.75" customHeight="1">
      <c r="A1477">
        <v>1485.0</v>
      </c>
      <c r="B1477">
        <v>34.5</v>
      </c>
      <c r="C1477">
        <v>48.0</v>
      </c>
      <c r="D1477">
        <v>3.0</v>
      </c>
      <c r="E1477" t="str">
        <f t="shared" si="7"/>
        <v>2.8</v>
      </c>
      <c r="F1477">
        <v>7.0</v>
      </c>
      <c r="G1477">
        <v>6.0</v>
      </c>
      <c r="H1477" t="str">
        <f t="shared" si="2"/>
        <v>42</v>
      </c>
      <c r="I1477">
        <v>96.0</v>
      </c>
      <c r="J1477" t="str">
        <f t="shared" si="3"/>
        <v>304.8</v>
      </c>
      <c r="K1477" t="str">
        <f t="shared" si="4"/>
        <v>851.916</v>
      </c>
      <c r="L1477" t="str">
        <f t="shared" si="5"/>
        <v>2.028371429</v>
      </c>
      <c r="M1477" t="str">
        <f t="shared" si="6"/>
        <v>279.5</v>
      </c>
      <c r="N1477" t="s">
        <v>187</v>
      </c>
      <c r="O1477" t="s">
        <v>2601</v>
      </c>
      <c r="P1477" t="s">
        <v>2602</v>
      </c>
    </row>
    <row r="1478" ht="15.75" customHeight="1">
      <c r="A1478">
        <v>1486.0</v>
      </c>
      <c r="B1478">
        <v>22.5</v>
      </c>
      <c r="C1478">
        <v>48.0</v>
      </c>
      <c r="D1478">
        <v>3.0</v>
      </c>
      <c r="E1478" t="str">
        <f t="shared" si="7"/>
        <v>2.8</v>
      </c>
      <c r="F1478">
        <v>8.0</v>
      </c>
      <c r="G1478">
        <v>6.0</v>
      </c>
      <c r="H1478" t="str">
        <f t="shared" si="2"/>
        <v>48</v>
      </c>
      <c r="I1478">
        <v>96.0</v>
      </c>
      <c r="J1478" t="str">
        <f t="shared" si="3"/>
        <v>304.8</v>
      </c>
      <c r="K1478" t="str">
        <f t="shared" si="4"/>
        <v>673.608</v>
      </c>
      <c r="L1478" t="str">
        <f t="shared" si="5"/>
        <v>1.40335</v>
      </c>
      <c r="M1478" t="str">
        <f t="shared" si="6"/>
        <v>221</v>
      </c>
      <c r="N1478" t="s">
        <v>187</v>
      </c>
      <c r="O1478" t="s">
        <v>2603</v>
      </c>
    </row>
    <row r="1479" ht="15.75" customHeight="1">
      <c r="A1479">
        <v>1487.0</v>
      </c>
      <c r="B1479">
        <v>77.0</v>
      </c>
      <c r="C1479">
        <v>140.0</v>
      </c>
      <c r="D1479">
        <v>3.0</v>
      </c>
      <c r="E1479" t="str">
        <f t="shared" si="7"/>
        <v>2.875</v>
      </c>
      <c r="F1479">
        <v>4.0</v>
      </c>
      <c r="G1479">
        <v>2.0</v>
      </c>
      <c r="H1479" t="str">
        <f t="shared" si="2"/>
        <v>8</v>
      </c>
      <c r="I1479">
        <v>90.0</v>
      </c>
      <c r="J1479" t="str">
        <f t="shared" si="3"/>
        <v>285.75</v>
      </c>
      <c r="K1479" t="str">
        <f t="shared" si="4"/>
        <v>962.9775</v>
      </c>
      <c r="L1479" t="str">
        <f t="shared" si="5"/>
        <v>12.03721875</v>
      </c>
      <c r="M1479" t="str">
        <f t="shared" si="6"/>
        <v>337</v>
      </c>
      <c r="N1479" t="s">
        <v>187</v>
      </c>
      <c r="O1479" t="s">
        <v>2604</v>
      </c>
      <c r="P1479" t="s">
        <v>2605</v>
      </c>
    </row>
    <row r="1480" ht="15.75" customHeight="1">
      <c r="A1480">
        <v>1488.0</v>
      </c>
      <c r="B1480">
        <v>80.0</v>
      </c>
      <c r="C1480">
        <v>308.0</v>
      </c>
      <c r="D1480">
        <v>3.0</v>
      </c>
      <c r="E1480" t="str">
        <f t="shared" si="7"/>
        <v>3.15</v>
      </c>
      <c r="F1480">
        <v>4.0</v>
      </c>
      <c r="G1480">
        <v>1.0</v>
      </c>
      <c r="H1480" t="str">
        <f t="shared" si="2"/>
        <v>4</v>
      </c>
      <c r="I1480">
        <v>98.0</v>
      </c>
      <c r="J1480" t="str">
        <f t="shared" si="3"/>
        <v>311.15</v>
      </c>
      <c r="K1480" t="str">
        <f t="shared" si="4"/>
        <v>1085.9135</v>
      </c>
      <c r="L1480" t="str">
        <f t="shared" si="5"/>
        <v>27.1478375</v>
      </c>
      <c r="M1480" t="str">
        <f t="shared" si="6"/>
        <v>349</v>
      </c>
      <c r="N1480" t="s">
        <v>182</v>
      </c>
      <c r="O1480" t="s">
        <v>2606</v>
      </c>
      <c r="P1480" t="s">
        <v>2607</v>
      </c>
    </row>
    <row r="1481" ht="15.75" customHeight="1">
      <c r="A1481">
        <v>1489.0</v>
      </c>
      <c r="B1481">
        <v>162.5</v>
      </c>
      <c r="C1481">
        <v>74.0</v>
      </c>
      <c r="D1481">
        <v>5.0</v>
      </c>
      <c r="E1481" t="str">
        <f t="shared" si="7"/>
        <v>3.7875</v>
      </c>
      <c r="F1481">
        <v>2.0</v>
      </c>
      <c r="G1481">
        <v>4.0</v>
      </c>
      <c r="H1481" t="str">
        <f t="shared" si="2"/>
        <v>8</v>
      </c>
      <c r="I1481">
        <v>98.0</v>
      </c>
      <c r="J1481" t="str">
        <f t="shared" si="3"/>
        <v>311.15</v>
      </c>
      <c r="K1481" t="str">
        <f t="shared" si="4"/>
        <v>1095.248</v>
      </c>
      <c r="L1481" t="str">
        <f t="shared" si="5"/>
        <v>13.6906</v>
      </c>
      <c r="M1481" t="str">
        <f t="shared" si="6"/>
        <v>352</v>
      </c>
      <c r="N1481" t="s">
        <v>182</v>
      </c>
      <c r="O1481" t="s">
        <v>2608</v>
      </c>
      <c r="P1481" s="126" t="s">
        <v>2609</v>
      </c>
    </row>
    <row r="1482" ht="15.75" customHeight="1">
      <c r="A1482">
        <v>1490.0</v>
      </c>
      <c r="B1482">
        <v>194.0</v>
      </c>
      <c r="C1482">
        <v>168.0</v>
      </c>
      <c r="D1482">
        <v>5.0</v>
      </c>
      <c r="E1482" t="str">
        <f t="shared" si="7"/>
        <v>3.45</v>
      </c>
      <c r="F1482">
        <v>2.0</v>
      </c>
      <c r="G1482">
        <v>2.0</v>
      </c>
      <c r="H1482" t="str">
        <f t="shared" si="2"/>
        <v>4</v>
      </c>
      <c r="I1482">
        <v>108.0</v>
      </c>
      <c r="J1482" t="str">
        <f t="shared" si="3"/>
        <v>342.9</v>
      </c>
      <c r="K1482" t="str">
        <f t="shared" si="4"/>
        <v>1423.035</v>
      </c>
      <c r="L1482" t="str">
        <f t="shared" si="5"/>
        <v>35.575875</v>
      </c>
      <c r="M1482" t="str">
        <f t="shared" si="6"/>
        <v>415</v>
      </c>
      <c r="N1482" t="s">
        <v>182</v>
      </c>
      <c r="O1482" t="s">
        <v>2610</v>
      </c>
      <c r="P1482" s="126" t="s">
        <v>2611</v>
      </c>
    </row>
    <row r="1483" ht="15.75" customHeight="1">
      <c r="A1483">
        <v>1491.0</v>
      </c>
      <c r="B1483">
        <v>75.0</v>
      </c>
      <c r="C1483">
        <v>102.0</v>
      </c>
      <c r="D1483">
        <v>3.0</v>
      </c>
      <c r="E1483" t="str">
        <f t="shared" si="7"/>
        <v>2.775</v>
      </c>
      <c r="F1483">
        <v>4.0</v>
      </c>
      <c r="G1483">
        <v>4.0</v>
      </c>
      <c r="H1483" t="str">
        <f t="shared" si="2"/>
        <v>16</v>
      </c>
      <c r="I1483">
        <v>132.0</v>
      </c>
      <c r="J1483" t="str">
        <f t="shared" si="3"/>
        <v>419.1</v>
      </c>
      <c r="K1483" t="str">
        <f t="shared" si="4"/>
        <v>1378.839</v>
      </c>
      <c r="L1483" t="str">
        <f t="shared" si="5"/>
        <v>8.61774375</v>
      </c>
      <c r="M1483" t="str">
        <f t="shared" si="6"/>
        <v>329</v>
      </c>
      <c r="N1483" t="s">
        <v>187</v>
      </c>
      <c r="O1483" t="s">
        <v>2612</v>
      </c>
      <c r="P1483" t="s">
        <v>2613</v>
      </c>
    </row>
    <row r="1484" ht="15.75" customHeight="1">
      <c r="A1484">
        <v>1492.0</v>
      </c>
      <c r="B1484">
        <v>140.0</v>
      </c>
      <c r="C1484">
        <v>90.0</v>
      </c>
      <c r="D1484">
        <v>3.0</v>
      </c>
      <c r="E1484" t="str">
        <f t="shared" si="7"/>
        <v>3.133333333</v>
      </c>
      <c r="F1484">
        <v>2.0</v>
      </c>
      <c r="G1484">
        <v>3.0</v>
      </c>
      <c r="H1484" t="str">
        <f t="shared" si="2"/>
        <v>6</v>
      </c>
      <c r="I1484">
        <v>88.0</v>
      </c>
      <c r="J1484" t="str">
        <f t="shared" si="3"/>
        <v>279.4</v>
      </c>
      <c r="K1484" t="str">
        <f t="shared" si="4"/>
        <v>846.582</v>
      </c>
      <c r="L1484" t="str">
        <f t="shared" si="5"/>
        <v>14.1097</v>
      </c>
      <c r="M1484" t="str">
        <f t="shared" si="6"/>
        <v>303</v>
      </c>
      <c r="N1484" t="s">
        <v>187</v>
      </c>
      <c r="O1484" t="s">
        <v>2614</v>
      </c>
      <c r="P1484" t="s">
        <v>2615</v>
      </c>
    </row>
    <row r="1485" ht="15.75" customHeight="1">
      <c r="A1485">
        <v>1493.0</v>
      </c>
      <c r="B1485">
        <v>90.0</v>
      </c>
      <c r="C1485">
        <v>125.0</v>
      </c>
      <c r="D1485">
        <v>3.0</v>
      </c>
      <c r="E1485" t="str">
        <f t="shared" si="7"/>
        <v>8.35</v>
      </c>
      <c r="F1485">
        <v>3.0</v>
      </c>
      <c r="G1485">
        <v>2.0</v>
      </c>
      <c r="H1485" t="str">
        <f t="shared" si="2"/>
        <v>6</v>
      </c>
      <c r="I1485">
        <v>84.0</v>
      </c>
      <c r="J1485" t="str">
        <f t="shared" si="3"/>
        <v>266.7</v>
      </c>
      <c r="K1485" t="str">
        <f t="shared" si="4"/>
        <v>789.432</v>
      </c>
      <c r="L1485" t="str">
        <f t="shared" si="5"/>
        <v>13.1572</v>
      </c>
      <c r="M1485" t="str">
        <f t="shared" si="6"/>
        <v>296</v>
      </c>
      <c r="N1485" t="s">
        <v>187</v>
      </c>
      <c r="O1485" t="s">
        <v>2616</v>
      </c>
      <c r="P1485" t="s">
        <v>2607</v>
      </c>
    </row>
    <row r="1486" ht="15.75" customHeight="1">
      <c r="A1486">
        <v>1494.0</v>
      </c>
      <c r="B1486">
        <v>135.0</v>
      </c>
      <c r="C1486">
        <v>120.0</v>
      </c>
      <c r="D1486">
        <v>5.0</v>
      </c>
      <c r="E1486" t="str">
        <f t="shared" si="7"/>
        <v>7</v>
      </c>
      <c r="F1486">
        <v>2.0</v>
      </c>
      <c r="G1486">
        <v>3.0</v>
      </c>
      <c r="H1486" t="str">
        <f t="shared" si="2"/>
        <v>6</v>
      </c>
      <c r="I1486">
        <v>120.0</v>
      </c>
      <c r="J1486" t="str">
        <f t="shared" si="3"/>
        <v>381</v>
      </c>
      <c r="K1486" t="str">
        <f t="shared" si="4"/>
        <v>1131.57</v>
      </c>
      <c r="L1486" t="str">
        <f t="shared" si="5"/>
        <v>18.8595</v>
      </c>
      <c r="M1486" t="str">
        <f t="shared" si="6"/>
        <v>297</v>
      </c>
      <c r="N1486" t="s">
        <v>187</v>
      </c>
      <c r="O1486" t="s">
        <v>2617</v>
      </c>
      <c r="P1486" t="s">
        <v>2618</v>
      </c>
    </row>
    <row r="1487" ht="15.75" customHeight="1">
      <c r="A1487">
        <v>1495.0</v>
      </c>
      <c r="B1487">
        <v>60.0</v>
      </c>
      <c r="C1487">
        <v>100.0</v>
      </c>
      <c r="D1487">
        <v>3.0</v>
      </c>
      <c r="E1487" t="str">
        <f t="shared" si="7"/>
        <v>3.716666667</v>
      </c>
      <c r="F1487">
        <v>5.0</v>
      </c>
      <c r="G1487">
        <v>3.0</v>
      </c>
      <c r="H1487" t="str">
        <f t="shared" si="2"/>
        <v>15</v>
      </c>
      <c r="I1487">
        <v>98.0</v>
      </c>
      <c r="J1487" t="str">
        <f t="shared" si="3"/>
        <v>311.15</v>
      </c>
      <c r="K1487" t="str">
        <f t="shared" si="4"/>
        <v>1033.018</v>
      </c>
      <c r="L1487" t="str">
        <f t="shared" si="5"/>
        <v>6.886786667</v>
      </c>
      <c r="M1487" t="str">
        <f t="shared" si="6"/>
        <v>332</v>
      </c>
      <c r="N1487" t="s">
        <v>187</v>
      </c>
      <c r="O1487" t="s">
        <v>2619</v>
      </c>
      <c r="P1487" s="126" t="s">
        <v>2620</v>
      </c>
    </row>
    <row r="1488" ht="15.75" customHeight="1">
      <c r="A1488">
        <v>1496.0</v>
      </c>
      <c r="B1488">
        <v>50.0</v>
      </c>
      <c r="C1488">
        <v>100.0</v>
      </c>
      <c r="D1488">
        <v>3.0</v>
      </c>
      <c r="E1488" t="str">
        <f t="shared" si="7"/>
        <v>3.716666667</v>
      </c>
      <c r="F1488">
        <v>6.0</v>
      </c>
      <c r="G1488">
        <v>3.0</v>
      </c>
      <c r="H1488" t="str">
        <f t="shared" si="2"/>
        <v>18</v>
      </c>
      <c r="I1488">
        <v>98.0</v>
      </c>
      <c r="J1488" t="str">
        <f t="shared" si="3"/>
        <v>311.15</v>
      </c>
      <c r="K1488" t="str">
        <f t="shared" si="4"/>
        <v>1042.3525</v>
      </c>
      <c r="L1488" t="str">
        <f t="shared" si="5"/>
        <v>5.790847222</v>
      </c>
      <c r="M1488" t="str">
        <f t="shared" si="6"/>
        <v>335</v>
      </c>
      <c r="N1488" t="s">
        <v>187</v>
      </c>
      <c r="O1488" t="s">
        <v>2621</v>
      </c>
      <c r="P1488" s="126" t="s">
        <v>2622</v>
      </c>
    </row>
    <row r="1489" ht="15.75" customHeight="1">
      <c r="A1489">
        <v>1497.0</v>
      </c>
      <c r="B1489">
        <v>150.0</v>
      </c>
      <c r="C1489">
        <v>27.0</v>
      </c>
      <c r="D1489">
        <v>4.7</v>
      </c>
      <c r="E1489" t="str">
        <f t="shared" si="7"/>
        <v>3.338888889</v>
      </c>
      <c r="F1489">
        <v>10.0</v>
      </c>
      <c r="G1489">
        <v>9.0</v>
      </c>
      <c r="H1489" t="str">
        <f t="shared" si="2"/>
        <v>90</v>
      </c>
      <c r="I1489">
        <v>86.0</v>
      </c>
      <c r="J1489" t="str">
        <f t="shared" si="3"/>
        <v>273.05</v>
      </c>
      <c r="K1489" t="str">
        <f t="shared" si="4"/>
        <v>4270.502</v>
      </c>
      <c r="L1489" t="str">
        <f t="shared" si="5"/>
        <v>4.745002222</v>
      </c>
      <c r="M1489" t="str">
        <f t="shared" si="6"/>
        <v>1564</v>
      </c>
      <c r="N1489" t="s">
        <v>182</v>
      </c>
      <c r="O1489" t="s">
        <v>2623</v>
      </c>
      <c r="P1489" s="126" t="s">
        <v>2624</v>
      </c>
    </row>
    <row r="1490" ht="15.75" customHeight="1">
      <c r="A1490">
        <v>1498.0</v>
      </c>
      <c r="B1490">
        <v>150.0</v>
      </c>
      <c r="C1490">
        <v>13.5</v>
      </c>
      <c r="D1490">
        <v>4.7</v>
      </c>
      <c r="E1490" t="str">
        <f t="shared" si="7"/>
        <v>3.308823529</v>
      </c>
      <c r="F1490">
        <v>10.0</v>
      </c>
      <c r="G1490">
        <v>17.0</v>
      </c>
      <c r="H1490" t="str">
        <f t="shared" si="2"/>
        <v>170</v>
      </c>
      <c r="I1490">
        <v>90.0</v>
      </c>
      <c r="J1490" t="str">
        <f t="shared" si="3"/>
        <v>285.75</v>
      </c>
      <c r="K1490" t="str">
        <f t="shared" si="4"/>
        <v>4469.13</v>
      </c>
      <c r="L1490" t="str">
        <f t="shared" si="5"/>
        <v>2.6289</v>
      </c>
      <c r="M1490" t="str">
        <f t="shared" si="6"/>
        <v>1564</v>
      </c>
      <c r="N1490" t="s">
        <v>182</v>
      </c>
      <c r="O1490" t="s">
        <v>2625</v>
      </c>
      <c r="P1490" s="126" t="s">
        <v>2626</v>
      </c>
    </row>
    <row r="1491" ht="15.75" customHeight="1">
      <c r="A1491">
        <v>1499.0</v>
      </c>
      <c r="B1491">
        <v>130.0</v>
      </c>
      <c r="C1491">
        <v>80.0</v>
      </c>
      <c r="D1491">
        <v>3.0</v>
      </c>
      <c r="E1491" t="str">
        <f t="shared" si="7"/>
        <v>5.725</v>
      </c>
      <c r="F1491">
        <v>2.0</v>
      </c>
      <c r="G1491">
        <v>4.0</v>
      </c>
      <c r="H1491" t="str">
        <f t="shared" si="2"/>
        <v>8</v>
      </c>
      <c r="I1491">
        <v>108.0</v>
      </c>
      <c r="J1491" t="str">
        <f t="shared" si="3"/>
        <v>342.9</v>
      </c>
      <c r="K1491" t="str">
        <f t="shared" si="4"/>
        <v>970.407</v>
      </c>
      <c r="L1491" t="str">
        <f t="shared" si="5"/>
        <v>12.1300875</v>
      </c>
      <c r="M1491" t="str">
        <f t="shared" si="6"/>
        <v>283</v>
      </c>
      <c r="N1491" t="s">
        <v>187</v>
      </c>
      <c r="O1491" t="s">
        <v>2627</v>
      </c>
    </row>
    <row r="1492" ht="15.75" customHeight="1">
      <c r="A1492">
        <v>1500.0</v>
      </c>
      <c r="B1492">
        <v>75.0</v>
      </c>
      <c r="C1492">
        <v>150.0</v>
      </c>
      <c r="D1492">
        <v>3.0</v>
      </c>
      <c r="E1492" t="str">
        <f t="shared" si="7"/>
        <v>2.4</v>
      </c>
      <c r="F1492">
        <v>3.0</v>
      </c>
      <c r="G1492">
        <v>2.0</v>
      </c>
      <c r="H1492" t="str">
        <f t="shared" si="2"/>
        <v>6</v>
      </c>
      <c r="I1492">
        <v>96.0</v>
      </c>
      <c r="J1492" t="str">
        <f t="shared" si="3"/>
        <v>304.8</v>
      </c>
      <c r="K1492" t="str">
        <f t="shared" si="4"/>
        <v>765.048</v>
      </c>
      <c r="L1492" t="str">
        <f t="shared" si="5"/>
        <v>12.7508</v>
      </c>
      <c r="M1492" t="str">
        <f t="shared" si="6"/>
        <v>251</v>
      </c>
      <c r="N1492" t="s">
        <v>187</v>
      </c>
      <c r="O1492" t="s">
        <v>2628</v>
      </c>
      <c r="P1492" t="s">
        <v>2629</v>
      </c>
    </row>
    <row r="1493" ht="15.75" customHeight="1">
      <c r="A1493">
        <v>1501.0</v>
      </c>
      <c r="B1493">
        <v>107.0</v>
      </c>
      <c r="C1493">
        <v>255.0</v>
      </c>
      <c r="D1493">
        <v>3.0</v>
      </c>
      <c r="E1493" t="str">
        <f t="shared" si="7"/>
        <v>6.9375</v>
      </c>
      <c r="F1493">
        <v>2.0</v>
      </c>
      <c r="G1493">
        <v>2.0</v>
      </c>
      <c r="H1493" t="str">
        <f t="shared" si="2"/>
        <v>4</v>
      </c>
      <c r="I1493">
        <v>165.0</v>
      </c>
      <c r="J1493" t="str">
        <f t="shared" si="3"/>
        <v>523.875</v>
      </c>
      <c r="K1493" t="str">
        <f t="shared" si="4"/>
        <v>1241.58375</v>
      </c>
      <c r="L1493" t="str">
        <f t="shared" si="5"/>
        <v>31.03959375</v>
      </c>
      <c r="M1493" t="str">
        <f t="shared" si="6"/>
        <v>237</v>
      </c>
      <c r="N1493" t="s">
        <v>182</v>
      </c>
      <c r="O1493" t="s">
        <v>2630</v>
      </c>
      <c r="P1493" t="s">
        <v>2607</v>
      </c>
    </row>
    <row r="1494" ht="15.75" customHeight="1">
      <c r="A1494">
        <v>1502.0</v>
      </c>
      <c r="B1494">
        <v>97.0</v>
      </c>
      <c r="C1494">
        <v>57.0</v>
      </c>
      <c r="D1494">
        <v>3.0</v>
      </c>
      <c r="E1494" t="str">
        <f t="shared" si="7"/>
        <v>3.96</v>
      </c>
      <c r="F1494">
        <v>2.0</v>
      </c>
      <c r="G1494">
        <v>5.0</v>
      </c>
      <c r="H1494" t="str">
        <f t="shared" si="2"/>
        <v>10</v>
      </c>
      <c r="I1494">
        <v>96.0</v>
      </c>
      <c r="J1494" t="str">
        <f t="shared" si="3"/>
        <v>304.8</v>
      </c>
      <c r="K1494" t="str">
        <f t="shared" si="4"/>
        <v>661.416</v>
      </c>
      <c r="L1494" t="str">
        <f t="shared" si="5"/>
        <v>6.61416</v>
      </c>
      <c r="M1494" t="str">
        <f t="shared" si="6"/>
        <v>217</v>
      </c>
      <c r="N1494" t="s">
        <v>187</v>
      </c>
      <c r="O1494" t="s">
        <v>2631</v>
      </c>
      <c r="P1494" t="s">
        <v>2632</v>
      </c>
    </row>
    <row r="1495" ht="15.75" customHeight="1">
      <c r="A1495">
        <v>1503.0</v>
      </c>
      <c r="B1495">
        <v>118.5</v>
      </c>
      <c r="C1495">
        <v>59.0</v>
      </c>
      <c r="D1495">
        <v>3.0</v>
      </c>
      <c r="E1495" t="str">
        <f t="shared" si="7"/>
        <v>3.23</v>
      </c>
      <c r="F1495">
        <v>2.0</v>
      </c>
      <c r="G1495">
        <v>5.0</v>
      </c>
      <c r="H1495" t="str">
        <f t="shared" si="2"/>
        <v>10</v>
      </c>
      <c r="I1495">
        <v>98.0</v>
      </c>
      <c r="J1495" t="str">
        <f t="shared" si="3"/>
        <v>311.15</v>
      </c>
      <c r="K1495" t="str">
        <f t="shared" si="4"/>
        <v>808.99</v>
      </c>
      <c r="L1495" t="str">
        <f t="shared" si="5"/>
        <v>8.0899</v>
      </c>
      <c r="M1495" t="str">
        <f t="shared" si="6"/>
        <v>260</v>
      </c>
      <c r="N1495" t="s">
        <v>187</v>
      </c>
      <c r="O1495" t="s">
        <v>2633</v>
      </c>
      <c r="P1495" t="s">
        <v>2634</v>
      </c>
    </row>
    <row r="1496" ht="15.75" customHeight="1">
      <c r="A1496">
        <v>1504.0</v>
      </c>
      <c r="B1496">
        <v>76.0</v>
      </c>
      <c r="C1496">
        <v>36.0</v>
      </c>
      <c r="D1496">
        <v>3.0</v>
      </c>
      <c r="E1496" t="str">
        <f t="shared" si="7"/>
        <v>3.007142857</v>
      </c>
      <c r="F1496">
        <v>2.0</v>
      </c>
      <c r="G1496">
        <v>7.0</v>
      </c>
      <c r="H1496" t="str">
        <f t="shared" si="2"/>
        <v>14</v>
      </c>
      <c r="I1496">
        <v>86.0</v>
      </c>
      <c r="J1496" t="str">
        <f t="shared" si="3"/>
        <v>273.05</v>
      </c>
      <c r="K1496" t="str">
        <f t="shared" si="4"/>
        <v>477.8375</v>
      </c>
      <c r="L1496" t="str">
        <f t="shared" si="5"/>
        <v>3.413125</v>
      </c>
      <c r="M1496" t="str">
        <f t="shared" si="6"/>
        <v>175</v>
      </c>
      <c r="N1496" t="s">
        <v>187</v>
      </c>
      <c r="O1496" t="s">
        <v>2635</v>
      </c>
      <c r="P1496" t="s">
        <v>2636</v>
      </c>
    </row>
    <row r="1497" ht="15.75" customHeight="1">
      <c r="A1497">
        <v>1505.0</v>
      </c>
      <c r="B1497">
        <v>144.0</v>
      </c>
      <c r="C1497">
        <v>59.5</v>
      </c>
      <c r="D1497">
        <v>3.0</v>
      </c>
      <c r="E1497" t="str">
        <f t="shared" si="7"/>
        <v>4</v>
      </c>
      <c r="F1497">
        <v>1.0</v>
      </c>
      <c r="G1497">
        <v>6.0</v>
      </c>
      <c r="H1497" t="str">
        <f t="shared" si="2"/>
        <v>6</v>
      </c>
      <c r="I1497">
        <v>120.0</v>
      </c>
      <c r="J1497" t="str">
        <f t="shared" si="3"/>
        <v>381</v>
      </c>
      <c r="K1497" t="str">
        <f t="shared" si="4"/>
        <v>624.84</v>
      </c>
      <c r="L1497" t="str">
        <f t="shared" si="5"/>
        <v>10.414</v>
      </c>
      <c r="M1497" t="str">
        <f t="shared" si="6"/>
        <v>164</v>
      </c>
      <c r="N1497" t="s">
        <v>182</v>
      </c>
      <c r="O1497" t="s">
        <v>2637</v>
      </c>
      <c r="P1497" s="126" t="s">
        <v>2638</v>
      </c>
    </row>
    <row r="1498" ht="15.75" customHeight="1">
      <c r="A1498">
        <v>1506.0</v>
      </c>
      <c r="B1498">
        <v>45.0</v>
      </c>
      <c r="C1498">
        <v>70.0</v>
      </c>
      <c r="D1498">
        <v>3.0</v>
      </c>
      <c r="E1498" t="str">
        <f t="shared" si="7"/>
        <v>6.2</v>
      </c>
      <c r="F1498">
        <v>5.0</v>
      </c>
      <c r="G1498">
        <v>5.0</v>
      </c>
      <c r="H1498" t="str">
        <f t="shared" si="2"/>
        <v>25</v>
      </c>
      <c r="I1498">
        <v>120.0</v>
      </c>
      <c r="J1498" t="str">
        <f t="shared" si="3"/>
        <v>381</v>
      </c>
      <c r="K1498" t="str">
        <f t="shared" si="4"/>
        <v>979.17</v>
      </c>
      <c r="L1498" t="str">
        <f t="shared" si="5"/>
        <v>3.91668</v>
      </c>
      <c r="M1498" t="str">
        <f t="shared" si="6"/>
        <v>257</v>
      </c>
      <c r="N1498" t="s">
        <v>182</v>
      </c>
      <c r="O1498" t="s">
        <v>2639</v>
      </c>
    </row>
    <row r="1499" ht="15.75" customHeight="1">
      <c r="A1499">
        <v>1507.0</v>
      </c>
      <c r="B1499">
        <v>200.0</v>
      </c>
      <c r="C1499">
        <v>66.0</v>
      </c>
      <c r="D1499">
        <v>3.0</v>
      </c>
      <c r="E1499" t="str">
        <f t="shared" si="7"/>
        <v>3.85</v>
      </c>
      <c r="F1499">
        <v>1.0</v>
      </c>
      <c r="G1499">
        <v>4.0</v>
      </c>
      <c r="H1499" t="str">
        <f t="shared" si="2"/>
        <v>4</v>
      </c>
      <c r="I1499">
        <v>88.0</v>
      </c>
      <c r="J1499" t="str">
        <f t="shared" si="3"/>
        <v>279.4</v>
      </c>
      <c r="K1499" t="str">
        <f t="shared" si="4"/>
        <v>614.68</v>
      </c>
      <c r="L1499" t="str">
        <f t="shared" si="5"/>
        <v>15.367</v>
      </c>
      <c r="M1499" t="str">
        <f t="shared" si="6"/>
        <v>220</v>
      </c>
      <c r="N1499" t="s">
        <v>182</v>
      </c>
      <c r="O1499" t="s">
        <v>2640</v>
      </c>
      <c r="P1499" s="126" t="s">
        <v>2641</v>
      </c>
    </row>
    <row r="1500" ht="15.75" customHeight="1">
      <c r="A1500">
        <v>1508.0</v>
      </c>
      <c r="B1500">
        <v>55.0</v>
      </c>
      <c r="C1500">
        <v>79.0</v>
      </c>
      <c r="D1500">
        <v>3.0</v>
      </c>
      <c r="E1500" t="str">
        <f t="shared" si="7"/>
        <v>4.34375</v>
      </c>
      <c r="F1500">
        <v>5.0</v>
      </c>
      <c r="G1500">
        <v>4.0</v>
      </c>
      <c r="H1500" t="str">
        <f t="shared" si="2"/>
        <v>20</v>
      </c>
      <c r="I1500">
        <v>105.0</v>
      </c>
      <c r="J1500" t="str">
        <f t="shared" si="3"/>
        <v>333.375</v>
      </c>
      <c r="K1500" t="str">
        <f t="shared" si="4"/>
        <v>1023.46125</v>
      </c>
      <c r="L1500" t="str">
        <f t="shared" si="5"/>
        <v>5.11730625</v>
      </c>
      <c r="M1500" t="str">
        <f t="shared" si="6"/>
        <v>307</v>
      </c>
      <c r="N1500" t="s">
        <v>182</v>
      </c>
      <c r="O1500" t="s">
        <v>2642</v>
      </c>
      <c r="P1500" s="126" t="s">
        <v>2643</v>
      </c>
    </row>
    <row r="1501" ht="15.75" customHeight="1">
      <c r="A1501">
        <v>1509.0</v>
      </c>
      <c r="B1501">
        <v>150.0</v>
      </c>
      <c r="C1501">
        <v>145.0</v>
      </c>
      <c r="D1501">
        <v>5.0</v>
      </c>
      <c r="E1501" t="str">
        <f t="shared" si="7"/>
        <v>7.4</v>
      </c>
      <c r="F1501">
        <v>2.0</v>
      </c>
      <c r="G1501">
        <v>2.0</v>
      </c>
      <c r="H1501" t="str">
        <f t="shared" si="2"/>
        <v>4</v>
      </c>
      <c r="I1501">
        <v>96.0</v>
      </c>
      <c r="J1501" t="str">
        <f t="shared" si="3"/>
        <v>304.8</v>
      </c>
      <c r="K1501" t="str">
        <f t="shared" si="4"/>
        <v>996.696</v>
      </c>
      <c r="L1501" t="str">
        <f t="shared" si="5"/>
        <v>24.9174</v>
      </c>
      <c r="M1501" t="str">
        <f t="shared" si="6"/>
        <v>327</v>
      </c>
      <c r="N1501" t="s">
        <v>182</v>
      </c>
      <c r="O1501" t="s">
        <v>2644</v>
      </c>
      <c r="P1501" s="126" t="s">
        <v>2645</v>
      </c>
    </row>
    <row r="1502" ht="15.75" customHeight="1">
      <c r="A1502">
        <v>1510.0</v>
      </c>
      <c r="B1502">
        <v>49.0</v>
      </c>
      <c r="C1502">
        <v>79.0</v>
      </c>
      <c r="D1502">
        <v>3.0</v>
      </c>
      <c r="E1502" t="str">
        <f t="shared" si="7"/>
        <v>4.34375</v>
      </c>
      <c r="F1502">
        <v>6.0</v>
      </c>
      <c r="G1502">
        <v>4.0</v>
      </c>
      <c r="H1502" t="str">
        <f t="shared" si="2"/>
        <v>24</v>
      </c>
      <c r="I1502">
        <v>105.0</v>
      </c>
      <c r="J1502" t="str">
        <f t="shared" si="3"/>
        <v>333.375</v>
      </c>
      <c r="K1502" t="str">
        <f t="shared" si="4"/>
        <v>1096.80375</v>
      </c>
      <c r="L1502" t="str">
        <f t="shared" si="5"/>
        <v>4.570015625</v>
      </c>
      <c r="M1502" t="str">
        <f t="shared" si="6"/>
        <v>329</v>
      </c>
      <c r="N1502" t="s">
        <v>182</v>
      </c>
      <c r="O1502" t="s">
        <v>2646</v>
      </c>
      <c r="P1502" s="126" t="s">
        <v>2647</v>
      </c>
    </row>
    <row r="1503" ht="15.75" customHeight="1">
      <c r="A1503">
        <v>1511.0</v>
      </c>
      <c r="B1503">
        <v>176.0</v>
      </c>
      <c r="C1503">
        <v>102.0</v>
      </c>
      <c r="D1503">
        <v>3.0</v>
      </c>
      <c r="E1503" t="str">
        <f t="shared" si="7"/>
        <v>9.125</v>
      </c>
      <c r="F1503">
        <v>1.0</v>
      </c>
      <c r="G1503">
        <v>3.0</v>
      </c>
      <c r="H1503" t="str">
        <f t="shared" si="2"/>
        <v>3</v>
      </c>
      <c r="I1503">
        <v>105.0</v>
      </c>
      <c r="J1503" t="str">
        <f t="shared" si="3"/>
        <v>333.375</v>
      </c>
      <c r="K1503" t="str">
        <f t="shared" si="4"/>
        <v>653.415</v>
      </c>
      <c r="L1503" t="str">
        <f t="shared" si="5"/>
        <v>21.7805</v>
      </c>
      <c r="M1503" t="str">
        <f t="shared" si="6"/>
        <v>196</v>
      </c>
      <c r="N1503" t="s">
        <v>182</v>
      </c>
      <c r="O1503" t="s">
        <v>2648</v>
      </c>
      <c r="P1503" s="126" t="s">
        <v>2649</v>
      </c>
    </row>
    <row r="1504" ht="15.75" customHeight="1">
      <c r="A1504">
        <v>1512.0</v>
      </c>
      <c r="B1504">
        <v>85.0</v>
      </c>
      <c r="C1504">
        <v>62.5</v>
      </c>
      <c r="D1504">
        <v>3.0</v>
      </c>
      <c r="E1504" t="str">
        <f t="shared" si="7"/>
        <v>4.175</v>
      </c>
      <c r="F1504">
        <v>4.0</v>
      </c>
      <c r="G1504">
        <v>4.0</v>
      </c>
      <c r="H1504" t="str">
        <f t="shared" si="2"/>
        <v>16</v>
      </c>
      <c r="I1504">
        <v>84.0</v>
      </c>
      <c r="J1504" t="str">
        <f t="shared" si="3"/>
        <v>266.7</v>
      </c>
      <c r="K1504" t="str">
        <f t="shared" si="4"/>
        <v>984.123</v>
      </c>
      <c r="L1504" t="str">
        <f t="shared" si="5"/>
        <v>6.15076875</v>
      </c>
      <c r="M1504" t="str">
        <f t="shared" si="6"/>
        <v>369</v>
      </c>
      <c r="N1504" t="s">
        <v>182</v>
      </c>
      <c r="O1504" t="s">
        <v>2650</v>
      </c>
      <c r="P1504" s="126" t="s">
        <v>2651</v>
      </c>
    </row>
    <row r="1505" ht="15.75" customHeight="1">
      <c r="A1505">
        <v>1513.0</v>
      </c>
      <c r="B1505">
        <v>231.8</v>
      </c>
      <c r="C1505">
        <v>157.5</v>
      </c>
      <c r="D1505">
        <v>3.0</v>
      </c>
      <c r="E1505" t="str">
        <f t="shared" si="7"/>
        <v>9.1875</v>
      </c>
      <c r="F1505">
        <v>1.0</v>
      </c>
      <c r="G1505">
        <v>2.0</v>
      </c>
      <c r="H1505" t="str">
        <f t="shared" si="2"/>
        <v>2</v>
      </c>
      <c r="I1505">
        <v>105.0</v>
      </c>
      <c r="J1505" t="str">
        <f t="shared" si="3"/>
        <v>333.375</v>
      </c>
      <c r="K1505" t="str">
        <f t="shared" si="4"/>
        <v>839.43825</v>
      </c>
      <c r="L1505" t="str">
        <f t="shared" si="5"/>
        <v>41.9719125</v>
      </c>
      <c r="M1505" t="str">
        <f t="shared" si="6"/>
        <v>251.8</v>
      </c>
      <c r="N1505" t="s">
        <v>182</v>
      </c>
      <c r="O1505" t="s">
        <v>2652</v>
      </c>
      <c r="P1505" s="126" t="s">
        <v>2653</v>
      </c>
    </row>
    <row r="1506" ht="15.75" customHeight="1">
      <c r="A1506">
        <v>1514.0</v>
      </c>
      <c r="B1506">
        <v>100.0</v>
      </c>
      <c r="C1506">
        <v>110.0</v>
      </c>
      <c r="D1506">
        <v>3.0</v>
      </c>
      <c r="E1506" t="str">
        <f t="shared" si="7"/>
        <v>6.416666667</v>
      </c>
      <c r="F1506">
        <v>3.0</v>
      </c>
      <c r="G1506">
        <v>3.0</v>
      </c>
      <c r="H1506" t="str">
        <f t="shared" si="2"/>
        <v>9</v>
      </c>
      <c r="I1506">
        <v>110.0</v>
      </c>
      <c r="J1506" t="str">
        <f t="shared" si="3"/>
        <v>349.25</v>
      </c>
      <c r="K1506" t="str">
        <f t="shared" si="4"/>
        <v>1138.555</v>
      </c>
      <c r="L1506" t="str">
        <f t="shared" si="5"/>
        <v>12.65061111</v>
      </c>
      <c r="M1506" t="str">
        <f t="shared" si="6"/>
        <v>326</v>
      </c>
      <c r="N1506" t="s">
        <v>182</v>
      </c>
      <c r="O1506" t="s">
        <v>2654</v>
      </c>
      <c r="P1506" s="126" t="s">
        <v>2655</v>
      </c>
    </row>
    <row r="1507" ht="15.75" customHeight="1">
      <c r="A1507">
        <v>1515.0</v>
      </c>
      <c r="B1507">
        <v>60.0</v>
      </c>
      <c r="C1507">
        <v>25.0</v>
      </c>
      <c r="D1507">
        <v>3.0</v>
      </c>
      <c r="E1507" t="str">
        <f t="shared" si="7"/>
        <v>2.709090909</v>
      </c>
      <c r="F1507">
        <v>5.0</v>
      </c>
      <c r="G1507">
        <v>11.0</v>
      </c>
      <c r="H1507" t="str">
        <f t="shared" si="2"/>
        <v>55</v>
      </c>
      <c r="I1507">
        <v>96.0</v>
      </c>
      <c r="J1507" t="str">
        <f t="shared" si="3"/>
        <v>304.8</v>
      </c>
      <c r="K1507" t="str">
        <f t="shared" si="4"/>
        <v>1011.936</v>
      </c>
      <c r="L1507" t="str">
        <f t="shared" si="5"/>
        <v>1.839883636</v>
      </c>
      <c r="M1507" t="str">
        <f t="shared" si="6"/>
        <v>332</v>
      </c>
      <c r="N1507" t="s">
        <v>182</v>
      </c>
      <c r="O1507" t="s">
        <v>2656</v>
      </c>
      <c r="P1507" s="126" t="s">
        <v>2657</v>
      </c>
    </row>
    <row r="1508" ht="15.75" customHeight="1">
      <c r="A1508">
        <v>1516.0</v>
      </c>
      <c r="B1508">
        <v>65.0</v>
      </c>
      <c r="C1508">
        <v>67.0</v>
      </c>
      <c r="D1508">
        <v>3.0</v>
      </c>
      <c r="E1508" t="str">
        <f t="shared" si="7"/>
        <v>9.2</v>
      </c>
      <c r="F1508">
        <v>3.0</v>
      </c>
      <c r="G1508">
        <v>4.0</v>
      </c>
      <c r="H1508" t="str">
        <f t="shared" si="2"/>
        <v>12</v>
      </c>
      <c r="I1508">
        <v>96.0</v>
      </c>
      <c r="J1508" t="str">
        <f t="shared" si="3"/>
        <v>304.8</v>
      </c>
      <c r="K1508" t="str">
        <f t="shared" si="4"/>
        <v>673.608</v>
      </c>
      <c r="L1508" t="str">
        <f t="shared" si="5"/>
        <v>5.6134</v>
      </c>
      <c r="M1508" t="str">
        <f t="shared" si="6"/>
        <v>221</v>
      </c>
      <c r="N1508" t="s">
        <v>182</v>
      </c>
      <c r="O1508" t="s">
        <v>2658</v>
      </c>
      <c r="P1508" s="126" t="s">
        <v>2659</v>
      </c>
    </row>
    <row r="1509" ht="15.75" customHeight="1">
      <c r="A1509">
        <v>1517.0</v>
      </c>
      <c r="B1509">
        <v>125.0</v>
      </c>
      <c r="C1509">
        <v>180.0</v>
      </c>
      <c r="D1509">
        <v>3.0</v>
      </c>
      <c r="E1509" t="str">
        <f t="shared" si="7"/>
        <v>10.5</v>
      </c>
      <c r="F1509">
        <v>2.0</v>
      </c>
      <c r="G1509">
        <v>2.0</v>
      </c>
      <c r="H1509" t="str">
        <f t="shared" si="2"/>
        <v>4</v>
      </c>
      <c r="I1509">
        <v>120.0</v>
      </c>
      <c r="J1509" t="str">
        <f t="shared" si="3"/>
        <v>381</v>
      </c>
      <c r="K1509" t="str">
        <f t="shared" si="4"/>
        <v>1040.13</v>
      </c>
      <c r="L1509" t="str">
        <f t="shared" si="5"/>
        <v>26.00325</v>
      </c>
      <c r="M1509" t="str">
        <f t="shared" si="6"/>
        <v>273</v>
      </c>
      <c r="N1509" t="s">
        <v>187</v>
      </c>
      <c r="O1509" t="s">
        <v>2660</v>
      </c>
      <c r="P1509" t="s">
        <v>2661</v>
      </c>
    </row>
    <row r="1510" ht="15.75" customHeight="1">
      <c r="A1510">
        <v>1519.0</v>
      </c>
      <c r="B1510">
        <v>71.0</v>
      </c>
      <c r="C1510">
        <v>32.0</v>
      </c>
      <c r="D1510">
        <v>3.0</v>
      </c>
      <c r="E1510" t="str">
        <f t="shared" si="7"/>
        <v>3.71875</v>
      </c>
      <c r="F1510">
        <v>3.0</v>
      </c>
      <c r="G1510">
        <v>8.0</v>
      </c>
      <c r="H1510" t="str">
        <f t="shared" si="2"/>
        <v>24</v>
      </c>
      <c r="I1510">
        <v>90.0</v>
      </c>
      <c r="J1510" t="str">
        <f t="shared" si="3"/>
        <v>285.75</v>
      </c>
      <c r="K1510" t="str">
        <f t="shared" si="4"/>
        <v>682.9425</v>
      </c>
      <c r="L1510" t="str">
        <f t="shared" si="5"/>
        <v>2.84559375</v>
      </c>
      <c r="M1510" t="str">
        <f t="shared" si="6"/>
        <v>239</v>
      </c>
      <c r="N1510" t="s">
        <v>182</v>
      </c>
      <c r="O1510" t="s">
        <v>2662</v>
      </c>
      <c r="P1510" t="s">
        <v>2663</v>
      </c>
    </row>
    <row r="1511" ht="15.75" customHeight="1">
      <c r="A1511">
        <v>1520.0</v>
      </c>
      <c r="B1511">
        <v>179.0</v>
      </c>
      <c r="C1511">
        <v>320.0</v>
      </c>
      <c r="D1511">
        <v>3.0</v>
      </c>
      <c r="E1511" t="str">
        <f t="shared" si="7"/>
        <v>3.85</v>
      </c>
      <c r="F1511">
        <v>2.0</v>
      </c>
      <c r="G1511">
        <v>1.0</v>
      </c>
      <c r="H1511" t="str">
        <f t="shared" si="2"/>
        <v>2</v>
      </c>
      <c r="I1511">
        <v>102.0</v>
      </c>
      <c r="J1511" t="str">
        <f t="shared" si="3"/>
        <v>323.85</v>
      </c>
      <c r="K1511" t="str">
        <f t="shared" si="4"/>
        <v>1233.8685</v>
      </c>
      <c r="L1511" t="str">
        <f t="shared" si="5"/>
        <v>61.693425</v>
      </c>
      <c r="M1511" t="str">
        <f t="shared" si="6"/>
        <v>381</v>
      </c>
      <c r="N1511" t="s">
        <v>187</v>
      </c>
      <c r="O1511" t="s">
        <v>2664</v>
      </c>
    </row>
    <row r="1512" ht="15.75" customHeight="1">
      <c r="A1512">
        <v>1521.0</v>
      </c>
      <c r="B1512">
        <v>112.0</v>
      </c>
      <c r="C1512">
        <v>72.0</v>
      </c>
      <c r="D1512">
        <v>3.0</v>
      </c>
      <c r="E1512" t="str">
        <f t="shared" si="7"/>
        <v>4.2</v>
      </c>
      <c r="F1512">
        <v>2.0</v>
      </c>
      <c r="G1512">
        <v>4.0</v>
      </c>
      <c r="H1512" t="str">
        <f t="shared" si="2"/>
        <v>8</v>
      </c>
      <c r="I1512">
        <v>96.0</v>
      </c>
      <c r="J1512" t="str">
        <f t="shared" si="3"/>
        <v>304.8</v>
      </c>
      <c r="K1512" t="str">
        <f t="shared" si="4"/>
        <v>752.856</v>
      </c>
      <c r="L1512" t="str">
        <f t="shared" si="5"/>
        <v>9.4107</v>
      </c>
      <c r="M1512" t="str">
        <f t="shared" si="6"/>
        <v>247</v>
      </c>
      <c r="N1512" t="s">
        <v>187</v>
      </c>
      <c r="O1512" t="s">
        <v>2665</v>
      </c>
      <c r="P1512" t="s">
        <v>2666</v>
      </c>
    </row>
    <row r="1513" ht="15.75" customHeight="1">
      <c r="A1513">
        <v>1522.0</v>
      </c>
      <c r="B1513">
        <v>105.0</v>
      </c>
      <c r="C1513">
        <v>188.0</v>
      </c>
      <c r="D1513">
        <v>3.0</v>
      </c>
      <c r="E1513" t="str">
        <f t="shared" si="7"/>
        <v>2.5</v>
      </c>
      <c r="F1513">
        <v>2.0</v>
      </c>
      <c r="G1513">
        <v>2.0</v>
      </c>
      <c r="H1513" t="str">
        <f t="shared" si="2"/>
        <v>4</v>
      </c>
      <c r="I1513">
        <v>120.0</v>
      </c>
      <c r="J1513" t="str">
        <f t="shared" si="3"/>
        <v>381</v>
      </c>
      <c r="K1513" t="str">
        <f t="shared" si="4"/>
        <v>887.73</v>
      </c>
      <c r="L1513" t="str">
        <f t="shared" si="5"/>
        <v>22.19325</v>
      </c>
      <c r="M1513" t="str">
        <f t="shared" si="6"/>
        <v>233</v>
      </c>
      <c r="N1513" t="s">
        <v>187</v>
      </c>
      <c r="O1513" t="s">
        <v>2667</v>
      </c>
      <c r="P1513" t="s">
        <v>2607</v>
      </c>
    </row>
    <row r="1514" ht="15.75" customHeight="1">
      <c r="A1514">
        <v>1523.0</v>
      </c>
      <c r="B1514">
        <v>30.0</v>
      </c>
      <c r="C1514">
        <v>60.0</v>
      </c>
      <c r="D1514">
        <v>3.0</v>
      </c>
      <c r="E1514" t="str">
        <f t="shared" si="7"/>
        <v>3.5</v>
      </c>
      <c r="F1514">
        <v>8.0</v>
      </c>
      <c r="G1514">
        <v>6.0</v>
      </c>
      <c r="H1514" t="str">
        <f t="shared" si="2"/>
        <v>48</v>
      </c>
      <c r="I1514">
        <v>120.0</v>
      </c>
      <c r="J1514" t="str">
        <f t="shared" si="3"/>
        <v>381</v>
      </c>
      <c r="K1514" t="str">
        <f t="shared" si="4"/>
        <v>1070.61</v>
      </c>
      <c r="L1514" t="str">
        <f t="shared" si="5"/>
        <v>2.2304375</v>
      </c>
      <c r="M1514" t="str">
        <f t="shared" si="6"/>
        <v>281</v>
      </c>
      <c r="N1514" t="s">
        <v>187</v>
      </c>
      <c r="O1514" t="s">
        <v>2668</v>
      </c>
    </row>
    <row r="1515" ht="15.75" customHeight="1">
      <c r="A1515">
        <v>1524.0</v>
      </c>
      <c r="B1515">
        <v>50.0</v>
      </c>
      <c r="C1515">
        <v>220.0</v>
      </c>
      <c r="D1515">
        <v>3.0</v>
      </c>
      <c r="E1515" t="str">
        <f t="shared" si="7"/>
        <v>7.0125</v>
      </c>
      <c r="F1515">
        <v>7.0</v>
      </c>
      <c r="G1515">
        <v>2.0</v>
      </c>
      <c r="H1515" t="str">
        <f t="shared" si="2"/>
        <v>14</v>
      </c>
      <c r="I1515">
        <v>143.0</v>
      </c>
      <c r="J1515" t="str">
        <f t="shared" si="3"/>
        <v>454.025</v>
      </c>
      <c r="K1515" t="str">
        <f t="shared" si="4"/>
        <v>1761.617</v>
      </c>
      <c r="L1515" t="str">
        <f t="shared" si="5"/>
        <v>12.58297857</v>
      </c>
      <c r="M1515" t="str">
        <f t="shared" si="6"/>
        <v>388</v>
      </c>
      <c r="N1515" t="s">
        <v>187</v>
      </c>
      <c r="O1515" t="s">
        <v>2669</v>
      </c>
      <c r="P1515" t="s">
        <v>2629</v>
      </c>
    </row>
    <row r="1516" ht="15.75" customHeight="1">
      <c r="A1516">
        <v>1525.0</v>
      </c>
      <c r="B1516">
        <v>110.0</v>
      </c>
      <c r="C1516">
        <v>48.0</v>
      </c>
      <c r="D1516">
        <v>3.0</v>
      </c>
      <c r="E1516" t="str">
        <f t="shared" si="7"/>
        <v>2.8</v>
      </c>
      <c r="F1516">
        <v>2.0</v>
      </c>
      <c r="G1516">
        <v>6.0</v>
      </c>
      <c r="H1516" t="str">
        <f t="shared" si="2"/>
        <v>12</v>
      </c>
      <c r="I1516">
        <v>96.0</v>
      </c>
      <c r="J1516" t="str">
        <f t="shared" si="3"/>
        <v>304.8</v>
      </c>
      <c r="K1516" t="str">
        <f t="shared" si="4"/>
        <v>740.664</v>
      </c>
      <c r="L1516" t="str">
        <f t="shared" si="5"/>
        <v>6.1722</v>
      </c>
      <c r="M1516" t="str">
        <f t="shared" si="6"/>
        <v>243</v>
      </c>
      <c r="N1516" t="s">
        <v>187</v>
      </c>
      <c r="O1516" t="s">
        <v>2670</v>
      </c>
      <c r="P1516" t="s">
        <v>2671</v>
      </c>
    </row>
    <row r="1517" ht="15.75" customHeight="1">
      <c r="A1517">
        <v>1526.0</v>
      </c>
      <c r="B1517">
        <v>85.0</v>
      </c>
      <c r="C1517">
        <v>35.0</v>
      </c>
      <c r="D1517">
        <v>3.0</v>
      </c>
      <c r="E1517" t="str">
        <f t="shared" si="7"/>
        <v>3.1</v>
      </c>
      <c r="F1517">
        <v>2.0</v>
      </c>
      <c r="G1517">
        <v>7.0</v>
      </c>
      <c r="H1517" t="str">
        <f t="shared" si="2"/>
        <v>14</v>
      </c>
      <c r="I1517">
        <v>84.0</v>
      </c>
      <c r="J1517" t="str">
        <f t="shared" si="3"/>
        <v>266.7</v>
      </c>
      <c r="K1517" t="str">
        <f t="shared" si="4"/>
        <v>514.731</v>
      </c>
      <c r="L1517" t="str">
        <f t="shared" si="5"/>
        <v>3.67665</v>
      </c>
      <c r="M1517" t="str">
        <f t="shared" si="6"/>
        <v>193</v>
      </c>
      <c r="N1517" t="s">
        <v>187</v>
      </c>
      <c r="O1517" t="s">
        <v>2672</v>
      </c>
      <c r="P1517" t="s">
        <v>2673</v>
      </c>
    </row>
    <row r="1518" ht="15.75" customHeight="1">
      <c r="A1518">
        <v>1527.0</v>
      </c>
      <c r="B1518">
        <v>65.0</v>
      </c>
      <c r="C1518">
        <v>90.0</v>
      </c>
      <c r="D1518">
        <v>3.0</v>
      </c>
      <c r="E1518" t="str">
        <f t="shared" si="7"/>
        <v>3.133333333</v>
      </c>
      <c r="F1518">
        <v>4.0</v>
      </c>
      <c r="G1518">
        <v>3.0</v>
      </c>
      <c r="H1518" t="str">
        <f t="shared" si="2"/>
        <v>12</v>
      </c>
      <c r="I1518">
        <v>88.0</v>
      </c>
      <c r="J1518" t="str">
        <f t="shared" si="3"/>
        <v>279.4</v>
      </c>
      <c r="K1518" t="str">
        <f t="shared" si="4"/>
        <v>807.466</v>
      </c>
      <c r="L1518" t="str">
        <f t="shared" si="5"/>
        <v>6.728883333</v>
      </c>
      <c r="M1518" t="str">
        <f t="shared" si="6"/>
        <v>289</v>
      </c>
      <c r="N1518" t="s">
        <v>187</v>
      </c>
      <c r="O1518" t="s">
        <v>2674</v>
      </c>
      <c r="P1518" t="s">
        <v>2629</v>
      </c>
    </row>
    <row r="1519" ht="15.75" customHeight="1">
      <c r="A1519">
        <v>1528.0</v>
      </c>
      <c r="B1519">
        <v>150.0</v>
      </c>
      <c r="C1519">
        <v>210.0</v>
      </c>
      <c r="D1519">
        <v>4.0</v>
      </c>
      <c r="E1519" t="str">
        <f t="shared" si="7"/>
        <v>4.3125</v>
      </c>
      <c r="F1519">
        <v>2.0</v>
      </c>
      <c r="G1519">
        <v>2.0</v>
      </c>
      <c r="H1519" t="str">
        <f t="shared" si="2"/>
        <v>4</v>
      </c>
      <c r="I1519">
        <v>135.0</v>
      </c>
      <c r="J1519" t="str">
        <f t="shared" si="3"/>
        <v>428.625</v>
      </c>
      <c r="K1519" t="str">
        <f t="shared" si="4"/>
        <v>1393.03125</v>
      </c>
      <c r="L1519" t="str">
        <f t="shared" si="5"/>
        <v>34.82578125</v>
      </c>
      <c r="M1519" t="str">
        <f t="shared" si="6"/>
        <v>325</v>
      </c>
      <c r="N1519" t="s">
        <v>187</v>
      </c>
      <c r="O1519" t="s">
        <v>2675</v>
      </c>
    </row>
    <row r="1520" ht="15.75" customHeight="1">
      <c r="A1520">
        <v>1529.0</v>
      </c>
      <c r="B1520">
        <v>55.0</v>
      </c>
      <c r="C1520">
        <v>120.0</v>
      </c>
      <c r="D1520">
        <v>3.0</v>
      </c>
      <c r="E1520" t="str">
        <f t="shared" si="7"/>
        <v>7</v>
      </c>
      <c r="F1520">
        <v>5.0</v>
      </c>
      <c r="G1520">
        <v>3.0</v>
      </c>
      <c r="H1520" t="str">
        <f t="shared" si="2"/>
        <v>15</v>
      </c>
      <c r="I1520">
        <v>120.0</v>
      </c>
      <c r="J1520" t="str">
        <f t="shared" si="3"/>
        <v>381</v>
      </c>
      <c r="K1520" t="str">
        <f t="shared" si="4"/>
        <v>1169.67</v>
      </c>
      <c r="L1520" t="str">
        <f t="shared" si="5"/>
        <v>7.7978</v>
      </c>
      <c r="M1520" t="str">
        <f t="shared" si="6"/>
        <v>307</v>
      </c>
      <c r="N1520" t="s">
        <v>182</v>
      </c>
      <c r="O1520" t="s">
        <v>2676</v>
      </c>
      <c r="P1520" s="126" t="s">
        <v>2677</v>
      </c>
    </row>
    <row r="1521" ht="15.75" customHeight="1">
      <c r="A1521">
        <v>1530.0</v>
      </c>
      <c r="B1521">
        <v>65.0</v>
      </c>
      <c r="C1521">
        <v>195.0</v>
      </c>
      <c r="D1521">
        <v>3.0</v>
      </c>
      <c r="E1521" t="str">
        <f t="shared" si="7"/>
        <v>5.025</v>
      </c>
      <c r="F1521">
        <v>4.0</v>
      </c>
      <c r="G1521">
        <v>2.0</v>
      </c>
      <c r="H1521" t="str">
        <f t="shared" si="2"/>
        <v>8</v>
      </c>
      <c r="I1521">
        <v>126.0</v>
      </c>
      <c r="J1521" t="str">
        <f t="shared" si="3"/>
        <v>400.05</v>
      </c>
      <c r="K1521" t="str">
        <f t="shared" si="4"/>
        <v>1156.1445</v>
      </c>
      <c r="L1521" t="str">
        <f t="shared" si="5"/>
        <v>14.45180625</v>
      </c>
      <c r="M1521" t="str">
        <f t="shared" si="6"/>
        <v>289</v>
      </c>
      <c r="N1521" t="s">
        <v>187</v>
      </c>
      <c r="O1521" t="s">
        <v>2678</v>
      </c>
    </row>
    <row r="1522" ht="15.75" customHeight="1">
      <c r="A1522">
        <v>1531.0</v>
      </c>
      <c r="B1522">
        <v>107.0</v>
      </c>
      <c r="C1522">
        <v>255.0</v>
      </c>
      <c r="D1522">
        <v>3.0</v>
      </c>
      <c r="E1522" t="str">
        <f t="shared" si="7"/>
        <v>11.7</v>
      </c>
      <c r="F1522">
        <v>3.0</v>
      </c>
      <c r="G1522">
        <v>1.0</v>
      </c>
      <c r="H1522" t="str">
        <f t="shared" si="2"/>
        <v>3</v>
      </c>
      <c r="I1522">
        <v>84.0</v>
      </c>
      <c r="J1522" t="str">
        <f t="shared" si="3"/>
        <v>266.7</v>
      </c>
      <c r="K1522" t="str">
        <f t="shared" si="4"/>
        <v>925.449</v>
      </c>
      <c r="L1522" t="str">
        <f t="shared" si="5"/>
        <v>30.8483</v>
      </c>
      <c r="M1522" t="str">
        <f t="shared" si="6"/>
        <v>347</v>
      </c>
      <c r="N1522" t="s">
        <v>182</v>
      </c>
      <c r="O1522" t="s">
        <v>2679</v>
      </c>
    </row>
    <row r="1523" ht="15.75" customHeight="1">
      <c r="A1523">
        <v>1532.0</v>
      </c>
      <c r="B1523">
        <v>168.0</v>
      </c>
      <c r="C1523">
        <v>149.0</v>
      </c>
      <c r="D1523">
        <v>5.0</v>
      </c>
      <c r="E1523" t="str">
        <f t="shared" si="7"/>
        <v>3.4</v>
      </c>
      <c r="F1523">
        <v>2.0</v>
      </c>
      <c r="G1523">
        <v>2.0</v>
      </c>
      <c r="H1523" t="str">
        <f t="shared" si="2"/>
        <v>4</v>
      </c>
      <c r="I1523">
        <v>96.0</v>
      </c>
      <c r="J1523" t="str">
        <f t="shared" si="3"/>
        <v>304.8</v>
      </c>
      <c r="K1523" t="str">
        <f t="shared" si="4"/>
        <v>1106.424</v>
      </c>
      <c r="L1523" t="str">
        <f t="shared" si="5"/>
        <v>27.6606</v>
      </c>
      <c r="M1523" t="str">
        <f t="shared" si="6"/>
        <v>363</v>
      </c>
      <c r="N1523" t="s">
        <v>187</v>
      </c>
      <c r="O1523" t="s">
        <v>2680</v>
      </c>
      <c r="P1523" t="s">
        <v>2681</v>
      </c>
    </row>
    <row r="1524" ht="15.75" customHeight="1">
      <c r="A1524">
        <v>1533.0</v>
      </c>
      <c r="B1524">
        <v>102.0</v>
      </c>
      <c r="C1524">
        <v>63.0</v>
      </c>
      <c r="D1524">
        <v>4.0</v>
      </c>
      <c r="E1524" t="str">
        <f t="shared" si="7"/>
        <v>3.675</v>
      </c>
      <c r="F1524">
        <v>2.0</v>
      </c>
      <c r="G1524">
        <v>4.0</v>
      </c>
      <c r="H1524" t="str">
        <f t="shared" si="2"/>
        <v>8</v>
      </c>
      <c r="I1524">
        <v>84.0</v>
      </c>
      <c r="J1524" t="str">
        <f t="shared" si="3"/>
        <v>266.7</v>
      </c>
      <c r="K1524" t="str">
        <f t="shared" si="4"/>
        <v>610.743</v>
      </c>
      <c r="L1524" t="str">
        <f t="shared" si="5"/>
        <v>7.6342875</v>
      </c>
      <c r="M1524" t="str">
        <f t="shared" si="6"/>
        <v>229</v>
      </c>
      <c r="N1524" t="s">
        <v>187</v>
      </c>
      <c r="O1524" t="s">
        <v>2682</v>
      </c>
      <c r="P1524" t="s">
        <v>2683</v>
      </c>
    </row>
    <row r="1525" ht="15.75" customHeight="1">
      <c r="A1525">
        <v>1534.0</v>
      </c>
      <c r="B1525">
        <v>45.0</v>
      </c>
      <c r="C1525">
        <v>50.0</v>
      </c>
      <c r="D1525">
        <v>3.0</v>
      </c>
      <c r="E1525" t="str">
        <f t="shared" si="7"/>
        <v>3.34</v>
      </c>
      <c r="F1525">
        <v>6.0</v>
      </c>
      <c r="G1525">
        <v>5.0</v>
      </c>
      <c r="H1525" t="str">
        <f t="shared" si="2"/>
        <v>30</v>
      </c>
      <c r="I1525">
        <v>84.0</v>
      </c>
      <c r="J1525" t="str">
        <f t="shared" si="3"/>
        <v>266.7</v>
      </c>
      <c r="K1525" t="str">
        <f t="shared" si="4"/>
        <v>813.435</v>
      </c>
      <c r="L1525" t="str">
        <f t="shared" si="5"/>
        <v>2.71145</v>
      </c>
      <c r="M1525" t="str">
        <f t="shared" si="6"/>
        <v>305</v>
      </c>
      <c r="N1525" t="s">
        <v>187</v>
      </c>
      <c r="O1525" t="s">
        <v>2684</v>
      </c>
      <c r="P1525" t="s">
        <v>2685</v>
      </c>
    </row>
    <row r="1526" ht="15.75" customHeight="1">
      <c r="A1526">
        <v>1535.0</v>
      </c>
      <c r="B1526">
        <v>35.0</v>
      </c>
      <c r="C1526">
        <v>90.0</v>
      </c>
      <c r="D1526">
        <v>3.0</v>
      </c>
      <c r="E1526" t="str">
        <f t="shared" si="7"/>
        <v>3.133333333</v>
      </c>
      <c r="F1526">
        <v>8.0</v>
      </c>
      <c r="G1526">
        <v>3.0</v>
      </c>
      <c r="H1526" t="str">
        <f t="shared" si="2"/>
        <v>24</v>
      </c>
      <c r="I1526">
        <v>88.0</v>
      </c>
      <c r="J1526" t="str">
        <f t="shared" si="3"/>
        <v>279.4</v>
      </c>
      <c r="K1526" t="str">
        <f t="shared" si="4"/>
        <v>896.874</v>
      </c>
      <c r="L1526" t="str">
        <f t="shared" si="5"/>
        <v>3.736975</v>
      </c>
      <c r="M1526" t="str">
        <f t="shared" si="6"/>
        <v>321</v>
      </c>
      <c r="N1526" t="s">
        <v>187</v>
      </c>
      <c r="O1526" t="s">
        <v>2686</v>
      </c>
      <c r="P1526" s="126" t="s">
        <v>2687</v>
      </c>
    </row>
    <row r="1527" ht="15.75" customHeight="1">
      <c r="A1527">
        <v>1536.0</v>
      </c>
      <c r="B1527">
        <v>250.0</v>
      </c>
      <c r="C1527">
        <v>147.0</v>
      </c>
      <c r="D1527">
        <v>3.0</v>
      </c>
      <c r="E1527" t="str">
        <f t="shared" si="7"/>
        <v>5.4</v>
      </c>
      <c r="F1527">
        <v>1.0</v>
      </c>
      <c r="G1527">
        <v>2.0</v>
      </c>
      <c r="H1527" t="str">
        <f t="shared" si="2"/>
        <v>2</v>
      </c>
      <c r="I1527">
        <v>96.0</v>
      </c>
      <c r="J1527" t="str">
        <f t="shared" si="3"/>
        <v>304.8</v>
      </c>
      <c r="K1527" t="str">
        <f t="shared" si="4"/>
        <v>822.96</v>
      </c>
      <c r="L1527" t="str">
        <f t="shared" si="5"/>
        <v>41.148</v>
      </c>
      <c r="M1527" t="str">
        <f t="shared" si="6"/>
        <v>270</v>
      </c>
      <c r="N1527" t="s">
        <v>187</v>
      </c>
      <c r="O1527" t="s">
        <v>2688</v>
      </c>
      <c r="P1527" s="126" t="s">
        <v>2689</v>
      </c>
    </row>
    <row r="1528" ht="15.75" customHeight="1">
      <c r="A1528">
        <v>1537.0</v>
      </c>
      <c r="B1528">
        <v>250.0</v>
      </c>
      <c r="C1528">
        <v>147.0</v>
      </c>
      <c r="D1528">
        <v>3.0</v>
      </c>
      <c r="E1528" t="str">
        <f t="shared" si="7"/>
        <v>5.4</v>
      </c>
      <c r="F1528">
        <v>1.0</v>
      </c>
      <c r="G1528">
        <v>2.0</v>
      </c>
      <c r="H1528" t="str">
        <f t="shared" si="2"/>
        <v>2</v>
      </c>
      <c r="I1528">
        <v>96.0</v>
      </c>
      <c r="J1528" t="str">
        <f t="shared" si="3"/>
        <v>304.8</v>
      </c>
      <c r="K1528" t="str">
        <f t="shared" si="4"/>
        <v>822.96</v>
      </c>
      <c r="L1528" t="str">
        <f t="shared" si="5"/>
        <v>41.148</v>
      </c>
      <c r="M1528" t="str">
        <f t="shared" si="6"/>
        <v>270</v>
      </c>
      <c r="N1528" t="s">
        <v>187</v>
      </c>
      <c r="O1528" t="s">
        <v>2690</v>
      </c>
      <c r="P1528" s="126" t="s">
        <v>2691</v>
      </c>
    </row>
    <row r="1529" ht="15.75" customHeight="1">
      <c r="A1529">
        <v>1538.0</v>
      </c>
      <c r="B1529">
        <v>97.0</v>
      </c>
      <c r="C1529">
        <v>34.0</v>
      </c>
      <c r="D1529">
        <v>3.0</v>
      </c>
      <c r="E1529" t="str">
        <f t="shared" si="7"/>
        <v>3.041666667</v>
      </c>
      <c r="F1529">
        <v>2.0</v>
      </c>
      <c r="G1529">
        <v>9.0</v>
      </c>
      <c r="H1529" t="str">
        <f t="shared" si="2"/>
        <v>18</v>
      </c>
      <c r="I1529">
        <v>105.0</v>
      </c>
      <c r="J1529" t="str">
        <f t="shared" si="3"/>
        <v>333.375</v>
      </c>
      <c r="K1529" t="str">
        <f t="shared" si="4"/>
        <v>723.42375</v>
      </c>
      <c r="L1529" t="str">
        <f t="shared" si="5"/>
        <v>4.019020833</v>
      </c>
      <c r="M1529" t="str">
        <f t="shared" si="6"/>
        <v>217</v>
      </c>
      <c r="N1529" t="s">
        <v>187</v>
      </c>
      <c r="O1529" t="s">
        <v>2692</v>
      </c>
      <c r="P1529" t="s">
        <v>823</v>
      </c>
    </row>
    <row r="1530" ht="15.75" customHeight="1">
      <c r="A1530">
        <v>1539.0</v>
      </c>
      <c r="B1530">
        <v>90.0</v>
      </c>
      <c r="C1530">
        <v>50.0</v>
      </c>
      <c r="D1530">
        <v>3.0</v>
      </c>
      <c r="E1530" t="str">
        <f t="shared" si="7"/>
        <v>4.428571429</v>
      </c>
      <c r="F1530">
        <v>3.0</v>
      </c>
      <c r="G1530">
        <v>7.0</v>
      </c>
      <c r="H1530" t="str">
        <f t="shared" si="2"/>
        <v>21</v>
      </c>
      <c r="I1530">
        <v>120.0</v>
      </c>
      <c r="J1530" t="str">
        <f t="shared" si="3"/>
        <v>381</v>
      </c>
      <c r="K1530" t="str">
        <f t="shared" si="4"/>
        <v>1127.76</v>
      </c>
      <c r="L1530" t="str">
        <f t="shared" si="5"/>
        <v>5.370285714</v>
      </c>
      <c r="M1530" t="str">
        <f t="shared" si="6"/>
        <v>296</v>
      </c>
      <c r="N1530" t="s">
        <v>187</v>
      </c>
      <c r="O1530" t="s">
        <v>2693</v>
      </c>
      <c r="P1530" t="s">
        <v>823</v>
      </c>
    </row>
    <row r="1531" ht="15.75" customHeight="1">
      <c r="A1531">
        <v>1540.0</v>
      </c>
      <c r="B1531">
        <v>58.5</v>
      </c>
      <c r="C1531">
        <v>65.0</v>
      </c>
      <c r="D1531">
        <v>3.0</v>
      </c>
      <c r="E1531" t="str">
        <f t="shared" si="7"/>
        <v>3.2625</v>
      </c>
      <c r="F1531">
        <v>4.0</v>
      </c>
      <c r="G1531">
        <v>4.0</v>
      </c>
      <c r="H1531" t="str">
        <f t="shared" si="2"/>
        <v>16</v>
      </c>
      <c r="I1531">
        <v>86.0</v>
      </c>
      <c r="J1531" t="str">
        <f t="shared" si="3"/>
        <v>273.05</v>
      </c>
      <c r="K1531" t="str">
        <f t="shared" si="4"/>
        <v>718.1215</v>
      </c>
      <c r="L1531" t="str">
        <f t="shared" si="5"/>
        <v>4.488259375</v>
      </c>
      <c r="M1531" t="str">
        <f t="shared" si="6"/>
        <v>263</v>
      </c>
      <c r="N1531" t="s">
        <v>187</v>
      </c>
      <c r="O1531" t="s">
        <v>2694</v>
      </c>
      <c r="P1531" t="s">
        <v>823</v>
      </c>
    </row>
    <row r="1532" ht="15.75" customHeight="1">
      <c r="A1532">
        <v>1541.0</v>
      </c>
      <c r="B1532">
        <v>28.0</v>
      </c>
      <c r="C1532">
        <v>42.0</v>
      </c>
      <c r="D1532">
        <v>3.0</v>
      </c>
      <c r="E1532" t="str">
        <f t="shared" si="7"/>
        <v>3.508333333</v>
      </c>
      <c r="F1532">
        <v>11.0</v>
      </c>
      <c r="G1532">
        <v>6.0</v>
      </c>
      <c r="H1532" t="str">
        <f t="shared" si="2"/>
        <v>66</v>
      </c>
      <c r="I1532">
        <v>86.0</v>
      </c>
      <c r="J1532" t="str">
        <f t="shared" si="3"/>
        <v>273.05</v>
      </c>
      <c r="K1532" t="str">
        <f t="shared" si="4"/>
        <v>977.519</v>
      </c>
      <c r="L1532" t="str">
        <f t="shared" si="5"/>
        <v>1.481089394</v>
      </c>
      <c r="M1532" t="str">
        <f t="shared" si="6"/>
        <v>358</v>
      </c>
      <c r="N1532" t="s">
        <v>182</v>
      </c>
      <c r="O1532" t="s">
        <v>2695</v>
      </c>
      <c r="P1532" s="126" t="s">
        <v>2696</v>
      </c>
    </row>
    <row r="1533" ht="15.75" customHeight="1">
      <c r="A1533">
        <v>1542.0</v>
      </c>
      <c r="B1533">
        <v>18.0</v>
      </c>
      <c r="C1533">
        <v>28.0</v>
      </c>
      <c r="D1533">
        <v>3.0</v>
      </c>
      <c r="E1533" t="str">
        <f t="shared" si="7"/>
        <v>3.044444444</v>
      </c>
      <c r="F1533">
        <v>16.0</v>
      </c>
      <c r="G1533">
        <v>9.0</v>
      </c>
      <c r="H1533" t="str">
        <f t="shared" si="2"/>
        <v>144</v>
      </c>
      <c r="I1533">
        <v>88.0</v>
      </c>
      <c r="J1533" t="str">
        <f t="shared" si="3"/>
        <v>279.4</v>
      </c>
      <c r="K1533" t="str">
        <f t="shared" si="4"/>
        <v>986.282</v>
      </c>
      <c r="L1533" t="str">
        <f t="shared" si="5"/>
        <v>0.6849180556</v>
      </c>
      <c r="M1533" t="str">
        <f t="shared" si="6"/>
        <v>353</v>
      </c>
      <c r="N1533" t="s">
        <v>182</v>
      </c>
      <c r="O1533" t="s">
        <v>2697</v>
      </c>
      <c r="P1533" s="126" t="s">
        <v>2698</v>
      </c>
    </row>
    <row r="1534" ht="15.75" customHeight="1">
      <c r="A1534">
        <v>1543.0</v>
      </c>
      <c r="B1534">
        <v>118.0</v>
      </c>
      <c r="C1534">
        <v>81.0</v>
      </c>
      <c r="D1534">
        <v>3.0</v>
      </c>
      <c r="E1534" t="str">
        <f t="shared" si="7"/>
        <v>6.3125</v>
      </c>
      <c r="F1534">
        <v>2.0</v>
      </c>
      <c r="G1534">
        <v>4.0</v>
      </c>
      <c r="H1534" t="str">
        <f t="shared" si="2"/>
        <v>8</v>
      </c>
      <c r="I1534">
        <v>110.0</v>
      </c>
      <c r="J1534" t="str">
        <f t="shared" si="3"/>
        <v>349.25</v>
      </c>
      <c r="K1534" t="str">
        <f t="shared" si="4"/>
        <v>904.5575</v>
      </c>
      <c r="L1534" t="str">
        <f t="shared" si="5"/>
        <v>11.30696875</v>
      </c>
      <c r="M1534" t="str">
        <f t="shared" si="6"/>
        <v>259</v>
      </c>
      <c r="N1534" t="s">
        <v>187</v>
      </c>
      <c r="O1534" t="s">
        <v>2699</v>
      </c>
      <c r="P1534" s="126" t="s">
        <v>2700</v>
      </c>
    </row>
    <row r="1535" ht="15.75" customHeight="1">
      <c r="A1535">
        <v>1544.0</v>
      </c>
      <c r="B1535">
        <v>105.0</v>
      </c>
      <c r="C1535">
        <v>339.0</v>
      </c>
      <c r="D1535">
        <v>3.0</v>
      </c>
      <c r="E1535" t="str">
        <f t="shared" si="7"/>
        <v>3.9</v>
      </c>
      <c r="F1535">
        <v>3.0</v>
      </c>
      <c r="G1535">
        <v>1.0</v>
      </c>
      <c r="H1535" t="str">
        <f t="shared" si="2"/>
        <v>3</v>
      </c>
      <c r="I1535">
        <v>108.0</v>
      </c>
      <c r="J1535" t="str">
        <f t="shared" si="3"/>
        <v>342.9</v>
      </c>
      <c r="K1535" t="str">
        <f t="shared" si="4"/>
        <v>1169.289</v>
      </c>
      <c r="L1535" t="str">
        <f t="shared" si="5"/>
        <v>38.9763</v>
      </c>
      <c r="M1535" t="str">
        <f t="shared" si="6"/>
        <v>341</v>
      </c>
      <c r="N1535" t="s">
        <v>187</v>
      </c>
      <c r="O1535" t="s">
        <v>2701</v>
      </c>
      <c r="P1535" t="s">
        <v>2629</v>
      </c>
    </row>
    <row r="1536" ht="15.75" customHeight="1">
      <c r="A1536">
        <v>1545.0</v>
      </c>
      <c r="B1536">
        <v>165.0</v>
      </c>
      <c r="C1536">
        <v>80.0</v>
      </c>
      <c r="D1536">
        <v>3.0</v>
      </c>
      <c r="E1536" t="str">
        <f t="shared" si="7"/>
        <v>5.725</v>
      </c>
      <c r="F1536">
        <v>2.0</v>
      </c>
      <c r="G1536">
        <v>4.0</v>
      </c>
      <c r="H1536" t="str">
        <f t="shared" si="2"/>
        <v>8</v>
      </c>
      <c r="I1536">
        <v>108.0</v>
      </c>
      <c r="J1536" t="str">
        <f t="shared" si="3"/>
        <v>342.9</v>
      </c>
      <c r="K1536" t="str">
        <f t="shared" si="4"/>
        <v>1210.437</v>
      </c>
      <c r="L1536" t="str">
        <f t="shared" si="5"/>
        <v>15.1304625</v>
      </c>
      <c r="M1536" t="str">
        <f t="shared" si="6"/>
        <v>353</v>
      </c>
      <c r="N1536" t="s">
        <v>187</v>
      </c>
      <c r="O1536" t="s">
        <v>2702</v>
      </c>
      <c r="P1536" t="s">
        <v>2607</v>
      </c>
    </row>
    <row r="1537" ht="15.75" customHeight="1">
      <c r="A1537">
        <v>1546.0</v>
      </c>
      <c r="B1537">
        <v>77.0</v>
      </c>
      <c r="C1537">
        <v>68.0</v>
      </c>
      <c r="D1537">
        <v>3.0</v>
      </c>
      <c r="E1537" t="str">
        <f t="shared" si="7"/>
        <v>3.4375</v>
      </c>
      <c r="F1537">
        <v>4.0</v>
      </c>
      <c r="G1537">
        <v>4.0</v>
      </c>
      <c r="H1537" t="str">
        <f t="shared" si="2"/>
        <v>16</v>
      </c>
      <c r="I1537">
        <v>90.0</v>
      </c>
      <c r="J1537" t="str">
        <f t="shared" si="3"/>
        <v>285.75</v>
      </c>
      <c r="K1537" t="str">
        <f t="shared" si="4"/>
        <v>962.9775</v>
      </c>
      <c r="L1537" t="str">
        <f t="shared" si="5"/>
        <v>6.018609375</v>
      </c>
      <c r="M1537" t="str">
        <f t="shared" si="6"/>
        <v>337</v>
      </c>
      <c r="N1537" t="s">
        <v>187</v>
      </c>
      <c r="O1537" t="s">
        <v>2703</v>
      </c>
      <c r="P1537" t="s">
        <v>2629</v>
      </c>
    </row>
    <row r="1538" ht="15.75" customHeight="1">
      <c r="A1538">
        <v>1547.0</v>
      </c>
      <c r="B1538">
        <v>40.0</v>
      </c>
      <c r="C1538">
        <v>98.0</v>
      </c>
      <c r="D1538">
        <v>3.0</v>
      </c>
      <c r="E1538" t="str">
        <f t="shared" si="7"/>
        <v>3.6</v>
      </c>
      <c r="F1538">
        <v>7.0</v>
      </c>
      <c r="G1538">
        <v>3.0</v>
      </c>
      <c r="H1538" t="str">
        <f t="shared" si="2"/>
        <v>21</v>
      </c>
      <c r="I1538">
        <v>96.0</v>
      </c>
      <c r="J1538" t="str">
        <f t="shared" si="3"/>
        <v>304.8</v>
      </c>
      <c r="K1538" t="str">
        <f t="shared" si="4"/>
        <v>969.264</v>
      </c>
      <c r="L1538" t="str">
        <f t="shared" si="5"/>
        <v>4.615542857</v>
      </c>
      <c r="M1538" t="str">
        <f t="shared" si="6"/>
        <v>318</v>
      </c>
      <c r="N1538" t="s">
        <v>187</v>
      </c>
      <c r="O1538" t="s">
        <v>2704</v>
      </c>
      <c r="P1538" t="s">
        <v>823</v>
      </c>
    </row>
    <row r="1539" ht="15.75" customHeight="1">
      <c r="A1539">
        <v>1548.0</v>
      </c>
      <c r="B1539">
        <v>86.0</v>
      </c>
      <c r="C1539">
        <v>43.0</v>
      </c>
      <c r="D1539">
        <v>3.0</v>
      </c>
      <c r="E1539" t="str">
        <f t="shared" si="7"/>
        <v>3.566666667</v>
      </c>
      <c r="F1539">
        <v>2.0</v>
      </c>
      <c r="G1539">
        <v>6.0</v>
      </c>
      <c r="H1539" t="str">
        <f t="shared" si="2"/>
        <v>12</v>
      </c>
      <c r="I1539">
        <v>88.0</v>
      </c>
      <c r="J1539" t="str">
        <f t="shared" si="3"/>
        <v>279.4</v>
      </c>
      <c r="K1539" t="str">
        <f t="shared" si="4"/>
        <v>544.83</v>
      </c>
      <c r="L1539" t="str">
        <f t="shared" si="5"/>
        <v>4.54025</v>
      </c>
      <c r="M1539" t="str">
        <f t="shared" si="6"/>
        <v>195</v>
      </c>
      <c r="N1539" t="s">
        <v>187</v>
      </c>
      <c r="O1539" t="s">
        <v>2705</v>
      </c>
      <c r="P1539" t="s">
        <v>823</v>
      </c>
    </row>
    <row r="1540" ht="15.75" customHeight="1">
      <c r="A1540">
        <v>1549.0</v>
      </c>
      <c r="B1540">
        <v>121.0</v>
      </c>
      <c r="C1540">
        <v>66.85</v>
      </c>
      <c r="D1540">
        <v>4.0</v>
      </c>
      <c r="E1540" t="str">
        <f t="shared" si="7"/>
        <v>3</v>
      </c>
      <c r="F1540">
        <v>2.0</v>
      </c>
      <c r="G1540">
        <v>4.0</v>
      </c>
      <c r="H1540" t="str">
        <f t="shared" si="2"/>
        <v>8</v>
      </c>
      <c r="I1540">
        <v>88.0</v>
      </c>
      <c r="J1540" t="str">
        <f t="shared" si="3"/>
        <v>279.4</v>
      </c>
      <c r="K1540" t="str">
        <f t="shared" si="4"/>
        <v>745.998</v>
      </c>
      <c r="L1540" t="str">
        <f t="shared" si="5"/>
        <v>9.324975</v>
      </c>
      <c r="M1540" t="str">
        <f t="shared" si="6"/>
        <v>267</v>
      </c>
      <c r="N1540" t="s">
        <v>182</v>
      </c>
      <c r="O1540" t="s">
        <v>2706</v>
      </c>
      <c r="P1540" s="126" t="s">
        <v>2707</v>
      </c>
    </row>
    <row r="1541" ht="15.75" customHeight="1">
      <c r="A1541">
        <v>1550.0</v>
      </c>
      <c r="B1541">
        <v>53.0</v>
      </c>
      <c r="C1541">
        <v>230.0</v>
      </c>
      <c r="D1541">
        <v>3.0</v>
      </c>
      <c r="E1541" t="str">
        <f t="shared" si="7"/>
        <v>4.95</v>
      </c>
      <c r="F1541">
        <v>7.0</v>
      </c>
      <c r="G1541">
        <v>2.0</v>
      </c>
      <c r="H1541" t="str">
        <f t="shared" si="2"/>
        <v>14</v>
      </c>
      <c r="I1541">
        <v>148.0</v>
      </c>
      <c r="J1541" t="str">
        <f t="shared" si="3"/>
        <v>469.9</v>
      </c>
      <c r="K1541" t="str">
        <f t="shared" si="4"/>
        <v>1921.891</v>
      </c>
      <c r="L1541" t="str">
        <f t="shared" si="5"/>
        <v>13.72779286</v>
      </c>
      <c r="M1541" t="str">
        <f t="shared" si="6"/>
        <v>409</v>
      </c>
      <c r="N1541" t="s">
        <v>187</v>
      </c>
      <c r="O1541" t="s">
        <v>2708</v>
      </c>
      <c r="P1541" t="s">
        <v>2607</v>
      </c>
    </row>
    <row r="1542" ht="15.75" customHeight="1">
      <c r="A1542">
        <v>1551.0</v>
      </c>
      <c r="B1542">
        <v>63.0</v>
      </c>
      <c r="C1542">
        <v>283.0</v>
      </c>
      <c r="D1542">
        <v>3.0</v>
      </c>
      <c r="E1542" t="str">
        <f t="shared" si="7"/>
        <v>2.75</v>
      </c>
      <c r="F1542">
        <v>4.0</v>
      </c>
      <c r="G1542">
        <v>1.0</v>
      </c>
      <c r="H1542" t="str">
        <f t="shared" si="2"/>
        <v>4</v>
      </c>
      <c r="I1542">
        <v>90.0</v>
      </c>
      <c r="J1542" t="str">
        <f t="shared" si="3"/>
        <v>285.75</v>
      </c>
      <c r="K1542" t="str">
        <f t="shared" si="4"/>
        <v>802.9575</v>
      </c>
      <c r="L1542" t="str">
        <f t="shared" si="5"/>
        <v>20.0739375</v>
      </c>
      <c r="M1542" t="str">
        <f t="shared" si="6"/>
        <v>281</v>
      </c>
      <c r="N1542" t="s">
        <v>187</v>
      </c>
      <c r="O1542" t="s">
        <v>2709</v>
      </c>
      <c r="P1542" t="s">
        <v>2607</v>
      </c>
    </row>
    <row r="1543" ht="15.75" customHeight="1">
      <c r="A1543">
        <v>1552.0</v>
      </c>
      <c r="B1543">
        <v>148.5</v>
      </c>
      <c r="C1543">
        <v>85.0</v>
      </c>
      <c r="D1543">
        <v>3.0</v>
      </c>
      <c r="E1543" t="str">
        <f t="shared" si="7"/>
        <v>3.9</v>
      </c>
      <c r="F1543">
        <v>2.0</v>
      </c>
      <c r="G1543">
        <v>3.0</v>
      </c>
      <c r="H1543" t="str">
        <f t="shared" si="2"/>
        <v>6</v>
      </c>
      <c r="I1543">
        <v>84.0</v>
      </c>
      <c r="J1543" t="str">
        <f t="shared" si="3"/>
        <v>266.7</v>
      </c>
      <c r="K1543" t="str">
        <f t="shared" si="4"/>
        <v>853.44</v>
      </c>
      <c r="L1543" t="str">
        <f t="shared" si="5"/>
        <v>14.224</v>
      </c>
      <c r="M1543" t="str">
        <f t="shared" si="6"/>
        <v>320</v>
      </c>
      <c r="N1543" t="s">
        <v>187</v>
      </c>
      <c r="O1543" t="s">
        <v>2710</v>
      </c>
      <c r="P1543" s="126" t="s">
        <v>2711</v>
      </c>
    </row>
    <row r="1544" ht="15.75" customHeight="1">
      <c r="A1544">
        <v>1553.0</v>
      </c>
      <c r="B1544">
        <v>123.0</v>
      </c>
      <c r="C1544">
        <v>150.0</v>
      </c>
      <c r="D1544">
        <v>3.0</v>
      </c>
      <c r="E1544" t="str">
        <f t="shared" si="7"/>
        <v>2.4</v>
      </c>
      <c r="F1544">
        <v>2.0</v>
      </c>
      <c r="G1544">
        <v>2.0</v>
      </c>
      <c r="H1544" t="str">
        <f t="shared" si="2"/>
        <v>4</v>
      </c>
      <c r="I1544">
        <v>96.0</v>
      </c>
      <c r="J1544" t="str">
        <f t="shared" si="3"/>
        <v>304.8</v>
      </c>
      <c r="K1544" t="str">
        <f t="shared" si="4"/>
        <v>819.912</v>
      </c>
      <c r="L1544" t="str">
        <f t="shared" si="5"/>
        <v>20.4978</v>
      </c>
      <c r="M1544" t="str">
        <f t="shared" si="6"/>
        <v>269</v>
      </c>
      <c r="N1544" t="s">
        <v>187</v>
      </c>
      <c r="O1544" t="s">
        <v>2712</v>
      </c>
      <c r="P1544" t="s">
        <v>2629</v>
      </c>
    </row>
    <row r="1545" ht="15.75" customHeight="1">
      <c r="A1545">
        <v>1554.0</v>
      </c>
      <c r="B1545">
        <v>120.0</v>
      </c>
      <c r="C1545">
        <v>60.0</v>
      </c>
      <c r="D1545">
        <v>3.0</v>
      </c>
      <c r="E1545" t="str">
        <f t="shared" si="7"/>
        <v>6.675</v>
      </c>
      <c r="F1545">
        <v>2.0</v>
      </c>
      <c r="G1545">
        <v>4.0</v>
      </c>
      <c r="H1545" t="str">
        <f t="shared" si="2"/>
        <v>8</v>
      </c>
      <c r="I1545">
        <v>84.0</v>
      </c>
      <c r="J1545" t="str">
        <f t="shared" si="3"/>
        <v>266.7</v>
      </c>
      <c r="K1545" t="str">
        <f t="shared" si="4"/>
        <v>701.421</v>
      </c>
      <c r="L1545" t="str">
        <f t="shared" si="5"/>
        <v>8.7677625</v>
      </c>
      <c r="M1545" t="str">
        <f t="shared" si="6"/>
        <v>263</v>
      </c>
      <c r="N1545" t="s">
        <v>187</v>
      </c>
      <c r="O1545" t="s">
        <v>2713</v>
      </c>
      <c r="P1545" t="s">
        <v>2629</v>
      </c>
    </row>
    <row r="1546" ht="15.75" customHeight="1">
      <c r="A1546">
        <v>1555.0</v>
      </c>
      <c r="B1546">
        <v>148.5</v>
      </c>
      <c r="C1546">
        <v>85.0</v>
      </c>
      <c r="D1546">
        <v>4.0</v>
      </c>
      <c r="E1546" t="str">
        <f t="shared" si="7"/>
        <v>3.9</v>
      </c>
      <c r="F1546">
        <v>2.0</v>
      </c>
      <c r="G1546">
        <v>3.0</v>
      </c>
      <c r="H1546" t="str">
        <f t="shared" si="2"/>
        <v>6</v>
      </c>
      <c r="I1546">
        <v>84.0</v>
      </c>
      <c r="J1546" t="str">
        <f t="shared" si="3"/>
        <v>266.7</v>
      </c>
      <c r="K1546" t="str">
        <f t="shared" si="4"/>
        <v>858.774</v>
      </c>
      <c r="L1546" t="str">
        <f t="shared" si="5"/>
        <v>14.3129</v>
      </c>
      <c r="M1546" t="str">
        <f t="shared" si="6"/>
        <v>322</v>
      </c>
      <c r="N1546" t="s">
        <v>182</v>
      </c>
      <c r="O1546" t="s">
        <v>2714</v>
      </c>
      <c r="P1546" s="126" t="s">
        <v>2715</v>
      </c>
    </row>
    <row r="1547" ht="15.75" customHeight="1">
      <c r="A1547">
        <v>1556.0</v>
      </c>
      <c r="B1547">
        <v>30.0</v>
      </c>
      <c r="C1547">
        <v>30.0</v>
      </c>
      <c r="D1547">
        <v>3.0</v>
      </c>
      <c r="E1547" t="str">
        <f t="shared" si="7"/>
        <v>3.866666667</v>
      </c>
      <c r="F1547">
        <v>10.0</v>
      </c>
      <c r="G1547">
        <v>9.0</v>
      </c>
      <c r="H1547" t="str">
        <f t="shared" si="2"/>
        <v>90</v>
      </c>
      <c r="I1547">
        <v>96.0</v>
      </c>
      <c r="J1547" t="str">
        <f t="shared" si="3"/>
        <v>304.8</v>
      </c>
      <c r="K1547" t="str">
        <f t="shared" si="4"/>
        <v>1057.656</v>
      </c>
      <c r="L1547" t="str">
        <f t="shared" si="5"/>
        <v>1.175173333</v>
      </c>
      <c r="M1547" t="str">
        <f t="shared" si="6"/>
        <v>347</v>
      </c>
      <c r="N1547" t="s">
        <v>187</v>
      </c>
      <c r="O1547" t="s">
        <v>2716</v>
      </c>
      <c r="P1547" t="s">
        <v>2717</v>
      </c>
    </row>
    <row r="1548" ht="15.75" customHeight="1">
      <c r="A1548">
        <v>1557.0</v>
      </c>
      <c r="B1548">
        <v>100.0</v>
      </c>
      <c r="C1548">
        <v>339.0</v>
      </c>
      <c r="D1548">
        <v>3.0</v>
      </c>
      <c r="E1548" t="str">
        <f t="shared" si="7"/>
        <v>3.9</v>
      </c>
      <c r="F1548">
        <v>2.0</v>
      </c>
      <c r="G1548">
        <v>1.0</v>
      </c>
      <c r="H1548" t="str">
        <f t="shared" si="2"/>
        <v>2</v>
      </c>
      <c r="I1548">
        <v>108.0</v>
      </c>
      <c r="J1548" t="str">
        <f t="shared" si="3"/>
        <v>342.9</v>
      </c>
      <c r="K1548" t="str">
        <f t="shared" si="4"/>
        <v>764.667</v>
      </c>
      <c r="L1548" t="str">
        <f t="shared" si="5"/>
        <v>38.23335</v>
      </c>
      <c r="M1548" t="str">
        <f t="shared" si="6"/>
        <v>223</v>
      </c>
      <c r="N1548" t="s">
        <v>187</v>
      </c>
      <c r="O1548" t="s">
        <v>2718</v>
      </c>
      <c r="P1548" t="s">
        <v>2607</v>
      </c>
    </row>
    <row r="1549" ht="15.75" customHeight="1">
      <c r="A1549">
        <v>1558.0</v>
      </c>
      <c r="B1549">
        <v>88.0</v>
      </c>
      <c r="C1549">
        <v>42.0</v>
      </c>
      <c r="D1549">
        <v>3.0</v>
      </c>
      <c r="E1549" t="str">
        <f t="shared" si="7"/>
        <v>3.508333333</v>
      </c>
      <c r="F1549">
        <v>2.0</v>
      </c>
      <c r="G1549">
        <v>6.0</v>
      </c>
      <c r="H1549" t="str">
        <f t="shared" si="2"/>
        <v>12</v>
      </c>
      <c r="I1549">
        <v>86.0</v>
      </c>
      <c r="J1549" t="str">
        <f t="shared" si="3"/>
        <v>273.05</v>
      </c>
      <c r="K1549" t="str">
        <f t="shared" si="4"/>
        <v>543.3695</v>
      </c>
      <c r="L1549" t="str">
        <f t="shared" si="5"/>
        <v>4.528079167</v>
      </c>
      <c r="M1549" t="str">
        <f t="shared" si="6"/>
        <v>199</v>
      </c>
      <c r="N1549" t="s">
        <v>187</v>
      </c>
      <c r="O1549" t="s">
        <v>2719</v>
      </c>
      <c r="P1549" s="126" t="s">
        <v>2720</v>
      </c>
    </row>
    <row r="1550" ht="15.75" customHeight="1">
      <c r="A1550">
        <v>1559.0</v>
      </c>
      <c r="B1550">
        <v>87.0</v>
      </c>
      <c r="C1550">
        <v>77.0</v>
      </c>
      <c r="D1550">
        <v>3.0</v>
      </c>
      <c r="E1550" t="str">
        <f t="shared" si="7"/>
        <v>6.34375</v>
      </c>
      <c r="F1550">
        <v>3.0</v>
      </c>
      <c r="G1550">
        <v>4.0</v>
      </c>
      <c r="H1550" t="str">
        <f t="shared" si="2"/>
        <v>12</v>
      </c>
      <c r="I1550">
        <v>105.0</v>
      </c>
      <c r="J1550" t="str">
        <f t="shared" si="3"/>
        <v>333.375</v>
      </c>
      <c r="K1550" t="str">
        <f t="shared" si="4"/>
        <v>956.78625</v>
      </c>
      <c r="L1550" t="str">
        <f t="shared" si="5"/>
        <v>7.97321875</v>
      </c>
      <c r="M1550" t="str">
        <f t="shared" si="6"/>
        <v>287</v>
      </c>
      <c r="N1550" t="s">
        <v>187</v>
      </c>
      <c r="O1550" t="s">
        <v>2721</v>
      </c>
      <c r="P1550" s="126" t="s">
        <v>2722</v>
      </c>
    </row>
    <row r="1551" ht="15.75" customHeight="1">
      <c r="A1551">
        <v>1560.0</v>
      </c>
      <c r="B1551">
        <v>72.0</v>
      </c>
      <c r="C1551">
        <v>142.0</v>
      </c>
      <c r="D1551">
        <v>3.0</v>
      </c>
      <c r="E1551" t="str">
        <f t="shared" si="7"/>
        <v>10.4</v>
      </c>
      <c r="F1551">
        <v>4.0</v>
      </c>
      <c r="G1551">
        <v>2.0</v>
      </c>
      <c r="H1551" t="str">
        <f t="shared" si="2"/>
        <v>8</v>
      </c>
      <c r="I1551">
        <v>96.0</v>
      </c>
      <c r="J1551" t="str">
        <f t="shared" si="3"/>
        <v>304.8</v>
      </c>
      <c r="K1551" t="str">
        <f t="shared" si="4"/>
        <v>966.216</v>
      </c>
      <c r="L1551" t="str">
        <f t="shared" si="5"/>
        <v>12.0777</v>
      </c>
      <c r="M1551" t="str">
        <f t="shared" si="6"/>
        <v>317</v>
      </c>
      <c r="N1551" t="s">
        <v>187</v>
      </c>
      <c r="O1551" t="s">
        <v>2723</v>
      </c>
      <c r="P1551" t="s">
        <v>2607</v>
      </c>
    </row>
    <row r="1552" ht="15.75" customHeight="1">
      <c r="A1552">
        <v>1561.0</v>
      </c>
      <c r="B1552">
        <v>110.0</v>
      </c>
      <c r="C1552">
        <v>155.0</v>
      </c>
      <c r="D1552">
        <v>3.0</v>
      </c>
      <c r="E1552" t="str">
        <f t="shared" si="7"/>
        <v>6.925</v>
      </c>
      <c r="F1552">
        <v>2.0</v>
      </c>
      <c r="G1552">
        <v>2.0</v>
      </c>
      <c r="H1552" t="str">
        <f t="shared" si="2"/>
        <v>4</v>
      </c>
      <c r="I1552">
        <v>102.0</v>
      </c>
      <c r="J1552" t="str">
        <f t="shared" si="3"/>
        <v>323.85</v>
      </c>
      <c r="K1552" t="str">
        <f t="shared" si="4"/>
        <v>786.9555</v>
      </c>
      <c r="L1552" t="str">
        <f t="shared" si="5"/>
        <v>19.6738875</v>
      </c>
      <c r="M1552" t="str">
        <f t="shared" si="6"/>
        <v>243</v>
      </c>
      <c r="N1552" t="s">
        <v>187</v>
      </c>
      <c r="O1552" t="s">
        <v>2724</v>
      </c>
      <c r="P1552" t="s">
        <v>2629</v>
      </c>
    </row>
    <row r="1553" ht="15.75" customHeight="1">
      <c r="A1553">
        <v>1562.0</v>
      </c>
      <c r="B1553">
        <v>13.0</v>
      </c>
      <c r="C1553">
        <v>240.0</v>
      </c>
      <c r="D1553">
        <v>3.0</v>
      </c>
      <c r="E1553" t="str">
        <f t="shared" si="7"/>
        <v>2.8875</v>
      </c>
      <c r="F1553">
        <v>15.0</v>
      </c>
      <c r="G1553">
        <v>2.0</v>
      </c>
      <c r="H1553" t="str">
        <f t="shared" si="2"/>
        <v>30</v>
      </c>
      <c r="I1553">
        <v>153.0</v>
      </c>
      <c r="J1553" t="str">
        <f t="shared" si="3"/>
        <v>485.775</v>
      </c>
      <c r="K1553" t="str">
        <f t="shared" si="4"/>
        <v>1248.44175</v>
      </c>
      <c r="L1553" t="str">
        <f t="shared" si="5"/>
        <v>4.1614725</v>
      </c>
      <c r="M1553" t="str">
        <f t="shared" si="6"/>
        <v>257</v>
      </c>
      <c r="N1553" t="s">
        <v>187</v>
      </c>
      <c r="O1553" t="s">
        <v>2725</v>
      </c>
      <c r="P1553" t="s">
        <v>2629</v>
      </c>
    </row>
    <row r="1554" ht="15.75" customHeight="1">
      <c r="A1554">
        <v>1563.0</v>
      </c>
      <c r="B1554">
        <v>75.0</v>
      </c>
      <c r="C1554">
        <v>95.0</v>
      </c>
      <c r="D1554">
        <v>3.0</v>
      </c>
      <c r="E1554" t="str">
        <f t="shared" si="7"/>
        <v>6.6</v>
      </c>
      <c r="F1554">
        <v>4.0</v>
      </c>
      <c r="G1554">
        <v>3.0</v>
      </c>
      <c r="H1554" t="str">
        <f t="shared" si="2"/>
        <v>12</v>
      </c>
      <c r="I1554">
        <v>96.0</v>
      </c>
      <c r="J1554" t="str">
        <f t="shared" si="3"/>
        <v>304.8</v>
      </c>
      <c r="K1554" t="str">
        <f t="shared" si="4"/>
        <v>1002.792</v>
      </c>
      <c r="L1554" t="str">
        <f t="shared" si="5"/>
        <v>8.3566</v>
      </c>
      <c r="M1554" t="str">
        <f t="shared" si="6"/>
        <v>329</v>
      </c>
      <c r="N1554" t="s">
        <v>187</v>
      </c>
      <c r="O1554" t="s">
        <v>2726</v>
      </c>
      <c r="P1554" t="s">
        <v>2607</v>
      </c>
    </row>
    <row r="1555" ht="15.75" customHeight="1">
      <c r="A1555">
        <v>1564.0</v>
      </c>
      <c r="B1555">
        <v>27.0</v>
      </c>
      <c r="C1555">
        <v>145.0</v>
      </c>
      <c r="D1555">
        <v>3.0</v>
      </c>
      <c r="E1555" t="str">
        <f t="shared" si="7"/>
        <v>7.4</v>
      </c>
      <c r="F1555">
        <v>10.0</v>
      </c>
      <c r="G1555">
        <v>2.0</v>
      </c>
      <c r="H1555" t="str">
        <f t="shared" si="2"/>
        <v>20</v>
      </c>
      <c r="I1555">
        <v>96.0</v>
      </c>
      <c r="J1555" t="str">
        <f t="shared" si="3"/>
        <v>304.8</v>
      </c>
      <c r="K1555" t="str">
        <f t="shared" si="4"/>
        <v>966.216</v>
      </c>
      <c r="L1555" t="str">
        <f t="shared" si="5"/>
        <v>4.83108</v>
      </c>
      <c r="M1555" t="str">
        <f t="shared" si="6"/>
        <v>317</v>
      </c>
      <c r="N1555" t="s">
        <v>187</v>
      </c>
      <c r="O1555" t="s">
        <v>2727</v>
      </c>
      <c r="P1555" t="s">
        <v>2629</v>
      </c>
    </row>
    <row r="1556" ht="15.75" customHeight="1">
      <c r="A1556">
        <v>1565.0</v>
      </c>
      <c r="B1556">
        <v>80.0</v>
      </c>
      <c r="C1556">
        <v>114.0</v>
      </c>
      <c r="D1556">
        <v>3.0</v>
      </c>
      <c r="E1556" t="str">
        <f t="shared" si="7"/>
        <v>3.475</v>
      </c>
      <c r="F1556">
        <v>4.0</v>
      </c>
      <c r="G1556">
        <v>4.0</v>
      </c>
      <c r="H1556" t="str">
        <f t="shared" si="2"/>
        <v>16</v>
      </c>
      <c r="I1556">
        <v>148.0</v>
      </c>
      <c r="J1556" t="str">
        <f t="shared" si="3"/>
        <v>469.9</v>
      </c>
      <c r="K1556" t="str">
        <f t="shared" si="4"/>
        <v>1639.951</v>
      </c>
      <c r="L1556" t="str">
        <f t="shared" si="5"/>
        <v>10.24969375</v>
      </c>
      <c r="M1556" t="str">
        <f t="shared" si="6"/>
        <v>349</v>
      </c>
      <c r="N1556" t="s">
        <v>187</v>
      </c>
      <c r="O1556" t="s">
        <v>2728</v>
      </c>
      <c r="P1556" t="s">
        <v>2607</v>
      </c>
    </row>
    <row r="1557" ht="15.75" customHeight="1">
      <c r="A1557">
        <v>1566.0</v>
      </c>
      <c r="B1557">
        <v>120.0</v>
      </c>
      <c r="C1557">
        <v>124.0</v>
      </c>
      <c r="D1557">
        <v>3.0</v>
      </c>
      <c r="E1557" t="str">
        <f t="shared" si="7"/>
        <v>3</v>
      </c>
      <c r="F1557">
        <v>2.0</v>
      </c>
      <c r="G1557">
        <v>3.0</v>
      </c>
      <c r="H1557" t="str">
        <f t="shared" si="2"/>
        <v>6</v>
      </c>
      <c r="I1557">
        <v>120.0</v>
      </c>
      <c r="J1557" t="str">
        <f t="shared" si="3"/>
        <v>381</v>
      </c>
      <c r="K1557" t="str">
        <f t="shared" si="4"/>
        <v>1002.03</v>
      </c>
      <c r="L1557" t="str">
        <f t="shared" si="5"/>
        <v>16.7005</v>
      </c>
      <c r="M1557" t="str">
        <f t="shared" si="6"/>
        <v>263</v>
      </c>
      <c r="N1557" t="s">
        <v>187</v>
      </c>
      <c r="O1557" t="s">
        <v>2729</v>
      </c>
      <c r="P1557" t="s">
        <v>2607</v>
      </c>
    </row>
    <row r="1558" ht="15.75" customHeight="1">
      <c r="A1558">
        <v>1567.0</v>
      </c>
      <c r="B1558">
        <v>45.0</v>
      </c>
      <c r="C1558">
        <v>210.0</v>
      </c>
      <c r="D1558">
        <v>3.0</v>
      </c>
      <c r="E1558" t="str">
        <f t="shared" si="7"/>
        <v>4.3125</v>
      </c>
      <c r="F1558">
        <v>6.0</v>
      </c>
      <c r="G1558">
        <v>2.0</v>
      </c>
      <c r="H1558" t="str">
        <f t="shared" si="2"/>
        <v>12</v>
      </c>
      <c r="I1558">
        <v>135.0</v>
      </c>
      <c r="J1558" t="str">
        <f t="shared" si="3"/>
        <v>428.625</v>
      </c>
      <c r="K1558" t="str">
        <f t="shared" si="4"/>
        <v>1307.30625</v>
      </c>
      <c r="L1558" t="str">
        <f t="shared" si="5"/>
        <v>10.89421875</v>
      </c>
      <c r="M1558" t="str">
        <f t="shared" si="6"/>
        <v>305</v>
      </c>
      <c r="N1558" t="s">
        <v>187</v>
      </c>
      <c r="O1558" t="s">
        <v>2730</v>
      </c>
      <c r="P1558" t="s">
        <v>2629</v>
      </c>
    </row>
    <row r="1559" ht="15.75" customHeight="1">
      <c r="A1559">
        <v>1568.0</v>
      </c>
      <c r="B1559">
        <v>58.0</v>
      </c>
      <c r="C1559">
        <v>270.0</v>
      </c>
      <c r="D1559">
        <v>3.0</v>
      </c>
      <c r="E1559" t="str">
        <f t="shared" si="7"/>
        <v>3.05</v>
      </c>
      <c r="F1559">
        <v>5.0</v>
      </c>
      <c r="G1559">
        <v>1.0</v>
      </c>
      <c r="H1559" t="str">
        <f t="shared" si="2"/>
        <v>5</v>
      </c>
      <c r="I1559">
        <v>86.0</v>
      </c>
      <c r="J1559" t="str">
        <f t="shared" si="3"/>
        <v>273.05</v>
      </c>
      <c r="K1559" t="str">
        <f t="shared" si="4"/>
        <v>879.221</v>
      </c>
      <c r="L1559" t="str">
        <f t="shared" si="5"/>
        <v>17.58442</v>
      </c>
      <c r="M1559" t="str">
        <f t="shared" si="6"/>
        <v>322</v>
      </c>
      <c r="N1559" t="s">
        <v>187</v>
      </c>
      <c r="O1559" t="s">
        <v>2731</v>
      </c>
      <c r="P1559" t="s">
        <v>2629</v>
      </c>
    </row>
    <row r="1560" ht="15.75" customHeight="1">
      <c r="A1560">
        <v>1569.0</v>
      </c>
      <c r="B1560">
        <v>65.0</v>
      </c>
      <c r="C1560">
        <v>130.0</v>
      </c>
      <c r="D1560">
        <v>3.0</v>
      </c>
      <c r="E1560" t="str">
        <f t="shared" si="7"/>
        <v>3.35</v>
      </c>
      <c r="F1560">
        <v>4.0</v>
      </c>
      <c r="G1560">
        <v>2.0</v>
      </c>
      <c r="H1560" t="str">
        <f t="shared" si="2"/>
        <v>8</v>
      </c>
      <c r="I1560">
        <v>84.0</v>
      </c>
      <c r="J1560" t="str">
        <f t="shared" si="3"/>
        <v>266.7</v>
      </c>
      <c r="K1560" t="str">
        <f t="shared" si="4"/>
        <v>770.763</v>
      </c>
      <c r="L1560" t="str">
        <f t="shared" si="5"/>
        <v>9.6345375</v>
      </c>
      <c r="M1560" t="str">
        <f t="shared" si="6"/>
        <v>289</v>
      </c>
      <c r="N1560" t="s">
        <v>187</v>
      </c>
      <c r="O1560" t="s">
        <v>2732</v>
      </c>
      <c r="P1560" t="s">
        <v>2629</v>
      </c>
    </row>
    <row r="1561" ht="15.75" customHeight="1">
      <c r="A1561">
        <v>1570.0</v>
      </c>
      <c r="B1561">
        <v>22.5</v>
      </c>
      <c r="C1561">
        <v>48.0</v>
      </c>
      <c r="D1561">
        <v>3.0</v>
      </c>
      <c r="E1561" t="str">
        <f t="shared" si="7"/>
        <v>3.858333333</v>
      </c>
      <c r="F1561">
        <v>8.0</v>
      </c>
      <c r="G1561">
        <v>6.0</v>
      </c>
      <c r="H1561" t="str">
        <f t="shared" si="2"/>
        <v>48</v>
      </c>
      <c r="I1561">
        <v>98.0</v>
      </c>
      <c r="J1561" t="str">
        <f t="shared" si="3"/>
        <v>311.15</v>
      </c>
      <c r="K1561" t="str">
        <f t="shared" si="4"/>
        <v>687.6415</v>
      </c>
      <c r="L1561" t="str">
        <f t="shared" si="5"/>
        <v>1.432586458</v>
      </c>
      <c r="M1561" t="str">
        <f t="shared" si="6"/>
        <v>221</v>
      </c>
      <c r="N1561" t="s">
        <v>187</v>
      </c>
      <c r="O1561" t="s">
        <v>2733</v>
      </c>
      <c r="P1561" t="s">
        <v>2629</v>
      </c>
    </row>
    <row r="1562" ht="15.75" customHeight="1">
      <c r="A1562">
        <v>1571.0</v>
      </c>
      <c r="B1562">
        <v>82.0</v>
      </c>
      <c r="C1562">
        <v>33.0</v>
      </c>
      <c r="D1562">
        <v>3.0</v>
      </c>
      <c r="E1562" t="str">
        <f t="shared" si="7"/>
        <v>2.71875</v>
      </c>
      <c r="F1562">
        <v>4.0</v>
      </c>
      <c r="G1562">
        <v>8.0</v>
      </c>
      <c r="H1562" t="str">
        <f t="shared" si="2"/>
        <v>32</v>
      </c>
      <c r="I1562">
        <v>90.0</v>
      </c>
      <c r="J1562" t="str">
        <f t="shared" si="3"/>
        <v>285.75</v>
      </c>
      <c r="K1562" t="str">
        <f t="shared" si="4"/>
        <v>1020.1275</v>
      </c>
      <c r="L1562" t="str">
        <f t="shared" si="5"/>
        <v>3.187898438</v>
      </c>
      <c r="M1562" t="str">
        <f t="shared" si="6"/>
        <v>357</v>
      </c>
      <c r="N1562" t="s">
        <v>187</v>
      </c>
      <c r="O1562" t="s">
        <v>2734</v>
      </c>
      <c r="P1562" s="126" t="s">
        <v>2735</v>
      </c>
    </row>
    <row r="1563" ht="15.75" customHeight="1">
      <c r="A1563">
        <v>1572.0</v>
      </c>
      <c r="B1563">
        <v>27.0</v>
      </c>
      <c r="C1563">
        <v>150.0</v>
      </c>
      <c r="D1563">
        <v>3.0</v>
      </c>
      <c r="E1563" t="str">
        <f t="shared" si="7"/>
        <v>2.4</v>
      </c>
      <c r="F1563">
        <v>7.0</v>
      </c>
      <c r="G1563">
        <v>2.0</v>
      </c>
      <c r="H1563" t="str">
        <f t="shared" si="2"/>
        <v>14</v>
      </c>
      <c r="I1563">
        <v>96.0</v>
      </c>
      <c r="J1563" t="str">
        <f t="shared" si="3"/>
        <v>304.8</v>
      </c>
      <c r="K1563" t="str">
        <f t="shared" si="4"/>
        <v>691.896</v>
      </c>
      <c r="L1563" t="str">
        <f t="shared" si="5"/>
        <v>4.942114286</v>
      </c>
      <c r="M1563" t="str">
        <f t="shared" si="6"/>
        <v>227</v>
      </c>
      <c r="N1563" t="s">
        <v>187</v>
      </c>
      <c r="O1563" t="s">
        <v>2736</v>
      </c>
      <c r="P1563" t="s">
        <v>823</v>
      </c>
    </row>
    <row r="1564" ht="15.75" customHeight="1">
      <c r="A1564">
        <v>1573.0</v>
      </c>
      <c r="B1564">
        <v>82.0</v>
      </c>
      <c r="C1564">
        <v>46.0</v>
      </c>
      <c r="D1564">
        <v>3.0</v>
      </c>
      <c r="E1564" t="str">
        <f t="shared" si="7"/>
        <v>2.985714286</v>
      </c>
      <c r="F1564">
        <v>3.0</v>
      </c>
      <c r="G1564">
        <v>7.0</v>
      </c>
      <c r="H1564" t="str">
        <f t="shared" si="2"/>
        <v>21</v>
      </c>
      <c r="I1564">
        <v>108.0</v>
      </c>
      <c r="J1564" t="str">
        <f t="shared" si="3"/>
        <v>342.9</v>
      </c>
      <c r="K1564" t="str">
        <f t="shared" si="4"/>
        <v>932.688</v>
      </c>
      <c r="L1564" t="str">
        <f t="shared" si="5"/>
        <v>4.441371429</v>
      </c>
      <c r="M1564" t="str">
        <f t="shared" si="6"/>
        <v>272</v>
      </c>
      <c r="N1564" t="s">
        <v>187</v>
      </c>
      <c r="O1564" t="s">
        <v>2737</v>
      </c>
      <c r="P1564" s="126" t="s">
        <v>2738</v>
      </c>
    </row>
    <row r="1565" ht="15.75" customHeight="1">
      <c r="A1565">
        <v>1574.0</v>
      </c>
      <c r="B1565">
        <v>80.0</v>
      </c>
      <c r="C1565">
        <v>130.0</v>
      </c>
      <c r="D1565">
        <v>3.0</v>
      </c>
      <c r="E1565" t="str">
        <f t="shared" si="7"/>
        <v>6.525</v>
      </c>
      <c r="F1565">
        <v>4.0</v>
      </c>
      <c r="G1565">
        <v>2.0</v>
      </c>
      <c r="H1565" t="str">
        <f t="shared" si="2"/>
        <v>8</v>
      </c>
      <c r="I1565">
        <v>86.0</v>
      </c>
      <c r="J1565" t="str">
        <f t="shared" si="3"/>
        <v>273.05</v>
      </c>
      <c r="K1565" t="str">
        <f t="shared" si="4"/>
        <v>952.9445</v>
      </c>
      <c r="L1565" t="str">
        <f t="shared" si="5"/>
        <v>11.91180625</v>
      </c>
      <c r="M1565" t="str">
        <f t="shared" si="6"/>
        <v>349</v>
      </c>
      <c r="N1565" t="s">
        <v>187</v>
      </c>
      <c r="O1565" t="s">
        <v>2739</v>
      </c>
      <c r="P1565" t="s">
        <v>823</v>
      </c>
    </row>
    <row r="1566" ht="15.75" customHeight="1">
      <c r="A1566">
        <v>1575.0</v>
      </c>
      <c r="B1566">
        <v>50.0</v>
      </c>
      <c r="C1566">
        <v>111.0</v>
      </c>
      <c r="D1566">
        <v>3.0</v>
      </c>
      <c r="E1566" t="str">
        <f t="shared" si="7"/>
        <v>3.3</v>
      </c>
      <c r="F1566">
        <v>6.0</v>
      </c>
      <c r="G1566">
        <v>3.0</v>
      </c>
      <c r="H1566" t="str">
        <f t="shared" si="2"/>
        <v>18</v>
      </c>
      <c r="I1566">
        <v>108.0</v>
      </c>
      <c r="J1566" t="str">
        <f t="shared" si="3"/>
        <v>342.9</v>
      </c>
      <c r="K1566" t="str">
        <f t="shared" si="4"/>
        <v>1148.715</v>
      </c>
      <c r="L1566" t="str">
        <f t="shared" si="5"/>
        <v>6.38175</v>
      </c>
      <c r="M1566" t="str">
        <f t="shared" si="6"/>
        <v>335</v>
      </c>
      <c r="N1566" t="s">
        <v>187</v>
      </c>
      <c r="O1566" t="s">
        <v>2740</v>
      </c>
      <c r="P1566" t="s">
        <v>823</v>
      </c>
    </row>
    <row r="1567" ht="15.75" customHeight="1">
      <c r="A1567">
        <v>1576.0</v>
      </c>
      <c r="B1567">
        <v>105.0</v>
      </c>
      <c r="C1567">
        <v>34.0</v>
      </c>
      <c r="D1567">
        <v>3.0</v>
      </c>
      <c r="E1567" t="str">
        <f t="shared" si="7"/>
        <v>3.041666667</v>
      </c>
      <c r="F1567">
        <v>2.0</v>
      </c>
      <c r="G1567">
        <v>9.0</v>
      </c>
      <c r="H1567" t="str">
        <f t="shared" si="2"/>
        <v>18</v>
      </c>
      <c r="I1567">
        <v>105.0</v>
      </c>
      <c r="J1567" t="str">
        <f t="shared" si="3"/>
        <v>333.375</v>
      </c>
      <c r="K1567" t="str">
        <f t="shared" si="4"/>
        <v>776.76375</v>
      </c>
      <c r="L1567" t="str">
        <f t="shared" si="5"/>
        <v>4.315354167</v>
      </c>
      <c r="M1567" t="str">
        <f t="shared" si="6"/>
        <v>233</v>
      </c>
      <c r="N1567" t="s">
        <v>187</v>
      </c>
      <c r="O1567" t="s">
        <v>2741</v>
      </c>
      <c r="P1567" t="s">
        <v>2742</v>
      </c>
    </row>
    <row r="1568" ht="15.75" customHeight="1">
      <c r="A1568">
        <v>1577.0</v>
      </c>
      <c r="B1568">
        <v>70.0</v>
      </c>
      <c r="C1568">
        <v>68.0</v>
      </c>
      <c r="D1568">
        <v>3.0</v>
      </c>
      <c r="E1568" t="str">
        <f t="shared" si="7"/>
        <v>3.4375</v>
      </c>
      <c r="F1568">
        <v>4.0</v>
      </c>
      <c r="G1568">
        <v>4.0</v>
      </c>
      <c r="H1568" t="str">
        <f t="shared" si="2"/>
        <v>16</v>
      </c>
      <c r="I1568">
        <v>90.0</v>
      </c>
      <c r="J1568" t="str">
        <f t="shared" si="3"/>
        <v>285.75</v>
      </c>
      <c r="K1568" t="str">
        <f t="shared" si="4"/>
        <v>882.9675</v>
      </c>
      <c r="L1568" t="str">
        <f t="shared" si="5"/>
        <v>5.518546875</v>
      </c>
      <c r="M1568" t="str">
        <f t="shared" si="6"/>
        <v>309</v>
      </c>
      <c r="N1568" t="s">
        <v>182</v>
      </c>
      <c r="O1568" t="s">
        <v>2743</v>
      </c>
      <c r="P1568" t="s">
        <v>2744</v>
      </c>
    </row>
    <row r="1569" ht="15.75" customHeight="1">
      <c r="A1569">
        <v>1579.0</v>
      </c>
      <c r="B1569">
        <v>49.0</v>
      </c>
      <c r="C1569">
        <v>327.0</v>
      </c>
      <c r="D1569">
        <v>3.0</v>
      </c>
      <c r="E1569" t="str">
        <f t="shared" si="7"/>
        <v>6.375</v>
      </c>
      <c r="F1569">
        <v>6.0</v>
      </c>
      <c r="G1569">
        <v>1.0</v>
      </c>
      <c r="H1569" t="str">
        <f t="shared" si="2"/>
        <v>6</v>
      </c>
      <c r="I1569">
        <v>105.0</v>
      </c>
      <c r="J1569" t="str">
        <f t="shared" si="3"/>
        <v>333.375</v>
      </c>
      <c r="K1569" t="str">
        <f t="shared" si="4"/>
        <v>1096.80375</v>
      </c>
      <c r="L1569" t="str">
        <f t="shared" si="5"/>
        <v>18.2800625</v>
      </c>
      <c r="M1569" t="str">
        <f t="shared" si="6"/>
        <v>329</v>
      </c>
      <c r="N1569" t="s">
        <v>182</v>
      </c>
      <c r="O1569" t="s">
        <v>2745</v>
      </c>
      <c r="P1569" t="s">
        <v>823</v>
      </c>
    </row>
    <row r="1570" ht="15.75" customHeight="1">
      <c r="A1570">
        <v>1580.0</v>
      </c>
      <c r="B1570">
        <v>55.0</v>
      </c>
      <c r="C1570">
        <v>137.0</v>
      </c>
      <c r="D1570">
        <v>3.0</v>
      </c>
      <c r="E1570" t="str">
        <f t="shared" si="7"/>
        <v>2.7</v>
      </c>
      <c r="F1570">
        <v>5.0</v>
      </c>
      <c r="G1570">
        <v>2.0</v>
      </c>
      <c r="H1570" t="str">
        <f t="shared" si="2"/>
        <v>10</v>
      </c>
      <c r="I1570">
        <v>88.0</v>
      </c>
      <c r="J1570" t="str">
        <f t="shared" si="3"/>
        <v>279.4</v>
      </c>
      <c r="K1570" t="str">
        <f t="shared" si="4"/>
        <v>857.758</v>
      </c>
      <c r="L1570" t="str">
        <f t="shared" si="5"/>
        <v>8.57758</v>
      </c>
      <c r="M1570" t="str">
        <f t="shared" si="6"/>
        <v>307</v>
      </c>
      <c r="N1570" t="s">
        <v>187</v>
      </c>
      <c r="O1570" t="s">
        <v>2746</v>
      </c>
      <c r="P1570" t="s">
        <v>823</v>
      </c>
    </row>
    <row r="1571" ht="15.75" customHeight="1">
      <c r="A1571">
        <v>1581.0</v>
      </c>
      <c r="B1571">
        <v>68.0</v>
      </c>
      <c r="C1571">
        <v>33.0</v>
      </c>
      <c r="D1571">
        <v>3.0</v>
      </c>
      <c r="E1571" t="str">
        <f t="shared" si="7"/>
        <v>2.71875</v>
      </c>
      <c r="F1571">
        <v>4.0</v>
      </c>
      <c r="G1571">
        <v>8.0</v>
      </c>
      <c r="H1571" t="str">
        <f t="shared" si="2"/>
        <v>32</v>
      </c>
      <c r="I1571">
        <v>90.0</v>
      </c>
      <c r="J1571" t="str">
        <f t="shared" si="3"/>
        <v>285.75</v>
      </c>
      <c r="K1571" t="str">
        <f t="shared" si="4"/>
        <v>860.1075</v>
      </c>
      <c r="L1571" t="str">
        <f t="shared" si="5"/>
        <v>2.687835938</v>
      </c>
      <c r="M1571" t="str">
        <f t="shared" si="6"/>
        <v>301</v>
      </c>
      <c r="N1571" t="s">
        <v>187</v>
      </c>
      <c r="O1571" t="s">
        <v>2747</v>
      </c>
      <c r="P1571" t="s">
        <v>2748</v>
      </c>
    </row>
    <row r="1572" ht="15.75" customHeight="1">
      <c r="A1572">
        <v>1582.0</v>
      </c>
      <c r="B1572">
        <v>180.0</v>
      </c>
      <c r="C1572">
        <v>67.0</v>
      </c>
      <c r="D1572">
        <v>3.0</v>
      </c>
      <c r="E1572" t="str">
        <f t="shared" si="7"/>
        <v>2.85</v>
      </c>
      <c r="F1572">
        <v>2.0</v>
      </c>
      <c r="G1572">
        <v>6.0</v>
      </c>
      <c r="H1572" t="str">
        <f t="shared" si="2"/>
        <v>12</v>
      </c>
      <c r="I1572">
        <v>132.0</v>
      </c>
      <c r="J1572" t="str">
        <f t="shared" si="3"/>
        <v>419.1</v>
      </c>
      <c r="K1572" t="str">
        <f t="shared" si="4"/>
        <v>1605.153</v>
      </c>
      <c r="L1572" t="str">
        <f t="shared" si="5"/>
        <v>13.376275</v>
      </c>
      <c r="M1572" t="str">
        <f t="shared" si="6"/>
        <v>383</v>
      </c>
      <c r="N1572" t="s">
        <v>187</v>
      </c>
      <c r="O1572" t="s">
        <v>2749</v>
      </c>
      <c r="P1572" s="126" t="s">
        <v>2750</v>
      </c>
    </row>
    <row r="1573" ht="15.75" customHeight="1">
      <c r="A1573">
        <v>1583.0</v>
      </c>
      <c r="B1573">
        <v>102.0</v>
      </c>
      <c r="C1573">
        <v>67.0</v>
      </c>
      <c r="D1573">
        <v>3.0</v>
      </c>
      <c r="E1573" t="str">
        <f t="shared" si="7"/>
        <v>2.85</v>
      </c>
      <c r="F1573">
        <v>2.0</v>
      </c>
      <c r="G1573">
        <v>4.0</v>
      </c>
      <c r="H1573" t="str">
        <f t="shared" si="2"/>
        <v>8</v>
      </c>
      <c r="I1573">
        <v>88.0</v>
      </c>
      <c r="J1573" t="str">
        <f t="shared" si="3"/>
        <v>279.4</v>
      </c>
      <c r="K1573" t="str">
        <f t="shared" si="4"/>
        <v>634.238</v>
      </c>
      <c r="L1573" t="str">
        <f t="shared" si="5"/>
        <v>7.927975</v>
      </c>
      <c r="M1573" t="str">
        <f t="shared" si="6"/>
        <v>227</v>
      </c>
      <c r="N1573" t="s">
        <v>187</v>
      </c>
      <c r="O1573" t="s">
        <v>2751</v>
      </c>
      <c r="P1573" s="126" t="s">
        <v>2752</v>
      </c>
    </row>
    <row r="1574" ht="15.75" customHeight="1">
      <c r="A1574">
        <v>1584.0</v>
      </c>
      <c r="B1574">
        <v>25.0</v>
      </c>
      <c r="C1574">
        <v>85.0</v>
      </c>
      <c r="D1574">
        <v>3.0</v>
      </c>
      <c r="E1574" t="str">
        <f t="shared" si="7"/>
        <v>3.9</v>
      </c>
      <c r="F1574">
        <v>7.0</v>
      </c>
      <c r="G1574">
        <v>3.0</v>
      </c>
      <c r="H1574" t="str">
        <f t="shared" si="2"/>
        <v>21</v>
      </c>
      <c r="I1574">
        <v>84.0</v>
      </c>
      <c r="J1574" t="str">
        <f t="shared" si="3"/>
        <v>266.7</v>
      </c>
      <c r="K1574" t="str">
        <f t="shared" si="4"/>
        <v>568.071</v>
      </c>
      <c r="L1574" t="str">
        <f t="shared" si="5"/>
        <v>2.7051</v>
      </c>
      <c r="M1574" t="str">
        <f t="shared" si="6"/>
        <v>213</v>
      </c>
      <c r="N1574" t="s">
        <v>182</v>
      </c>
      <c r="O1574" t="s">
        <v>2753</v>
      </c>
      <c r="P1574" t="s">
        <v>823</v>
      </c>
    </row>
    <row r="1575" ht="15.75" customHeight="1">
      <c r="A1575">
        <v>1585.0</v>
      </c>
      <c r="B1575">
        <v>150.0</v>
      </c>
      <c r="C1575">
        <v>60.0</v>
      </c>
      <c r="D1575">
        <v>3.0</v>
      </c>
      <c r="E1575" t="str">
        <f t="shared" si="7"/>
        <v>6.675</v>
      </c>
      <c r="F1575">
        <v>2.0</v>
      </c>
      <c r="G1575">
        <v>4.0</v>
      </c>
      <c r="H1575" t="str">
        <f t="shared" si="2"/>
        <v>8</v>
      </c>
      <c r="I1575">
        <v>84.0</v>
      </c>
      <c r="J1575" t="str">
        <f t="shared" si="3"/>
        <v>266.7</v>
      </c>
      <c r="K1575" t="str">
        <f t="shared" si="4"/>
        <v>861.441</v>
      </c>
      <c r="L1575" t="str">
        <f t="shared" si="5"/>
        <v>10.7680125</v>
      </c>
      <c r="M1575" t="str">
        <f t="shared" si="6"/>
        <v>323</v>
      </c>
      <c r="N1575" t="s">
        <v>187</v>
      </c>
      <c r="O1575" t="s">
        <v>2754</v>
      </c>
      <c r="P1575" t="s">
        <v>823</v>
      </c>
    </row>
    <row r="1576" ht="15.75" customHeight="1">
      <c r="A1576">
        <v>1586.0</v>
      </c>
      <c r="B1576">
        <v>150.0</v>
      </c>
      <c r="C1576">
        <v>108.7</v>
      </c>
      <c r="D1576">
        <v>5.0</v>
      </c>
      <c r="E1576" t="str">
        <f t="shared" si="7"/>
        <v>5.6</v>
      </c>
      <c r="F1576">
        <v>2.0</v>
      </c>
      <c r="G1576">
        <v>3.0</v>
      </c>
      <c r="H1576" t="str">
        <f t="shared" si="2"/>
        <v>6</v>
      </c>
      <c r="I1576">
        <v>108.0</v>
      </c>
      <c r="J1576" t="str">
        <f t="shared" si="3"/>
        <v>342.9</v>
      </c>
      <c r="K1576" t="str">
        <f t="shared" si="4"/>
        <v>1121.283</v>
      </c>
      <c r="L1576" t="str">
        <f t="shared" si="5"/>
        <v>18.68805</v>
      </c>
      <c r="M1576" t="str">
        <f t="shared" si="6"/>
        <v>327</v>
      </c>
      <c r="N1576" t="s">
        <v>182</v>
      </c>
      <c r="O1576" t="s">
        <v>2755</v>
      </c>
      <c r="P1576" s="126" t="s">
        <v>2756</v>
      </c>
    </row>
    <row r="1577" ht="15.75" customHeight="1">
      <c r="A1577">
        <v>1587.0</v>
      </c>
      <c r="B1577">
        <v>43.0</v>
      </c>
      <c r="C1577">
        <v>112.0</v>
      </c>
      <c r="D1577">
        <v>3.0</v>
      </c>
      <c r="E1577" t="str">
        <f t="shared" si="7"/>
        <v>4.416666667</v>
      </c>
      <c r="F1577">
        <v>6.0</v>
      </c>
      <c r="G1577">
        <v>3.0</v>
      </c>
      <c r="H1577" t="str">
        <f t="shared" si="2"/>
        <v>18</v>
      </c>
      <c r="I1577">
        <v>110.0</v>
      </c>
      <c r="J1577" t="str">
        <f t="shared" si="3"/>
        <v>349.25</v>
      </c>
      <c r="K1577" t="str">
        <f t="shared" si="4"/>
        <v>1023.3025</v>
      </c>
      <c r="L1577" t="str">
        <f t="shared" si="5"/>
        <v>5.685013889</v>
      </c>
      <c r="M1577" t="str">
        <f t="shared" si="6"/>
        <v>293</v>
      </c>
      <c r="N1577" t="s">
        <v>187</v>
      </c>
      <c r="O1577" t="s">
        <v>2757</v>
      </c>
      <c r="P1577" t="s">
        <v>823</v>
      </c>
    </row>
    <row r="1578" ht="15.75" customHeight="1">
      <c r="A1578">
        <v>1588.0</v>
      </c>
      <c r="B1578">
        <v>60.0</v>
      </c>
      <c r="C1578">
        <v>187.0</v>
      </c>
      <c r="D1578">
        <v>3.0</v>
      </c>
      <c r="E1578" t="str">
        <f t="shared" si="7"/>
        <v>3.5</v>
      </c>
      <c r="F1578">
        <v>4.0</v>
      </c>
      <c r="G1578">
        <v>2.0</v>
      </c>
      <c r="H1578" t="str">
        <f t="shared" si="2"/>
        <v>8</v>
      </c>
      <c r="I1578">
        <v>120.0</v>
      </c>
      <c r="J1578" t="str">
        <f t="shared" si="3"/>
        <v>381</v>
      </c>
      <c r="K1578" t="str">
        <f t="shared" si="4"/>
        <v>1024.89</v>
      </c>
      <c r="L1578" t="str">
        <f t="shared" si="5"/>
        <v>12.811125</v>
      </c>
      <c r="M1578" t="str">
        <f t="shared" si="6"/>
        <v>269</v>
      </c>
      <c r="N1578" t="s">
        <v>187</v>
      </c>
      <c r="O1578" t="s">
        <v>2758</v>
      </c>
      <c r="P1578" s="126" t="s">
        <v>2759</v>
      </c>
    </row>
    <row r="1579" ht="15.75" customHeight="1">
      <c r="A1579">
        <v>1589.0</v>
      </c>
      <c r="B1579">
        <v>35.0</v>
      </c>
      <c r="C1579">
        <v>48.0</v>
      </c>
      <c r="D1579">
        <v>3.0</v>
      </c>
      <c r="E1579" t="str">
        <f t="shared" si="7"/>
        <v>2.8</v>
      </c>
      <c r="F1579">
        <v>9.0</v>
      </c>
      <c r="G1579">
        <v>6.0</v>
      </c>
      <c r="H1579" t="str">
        <f t="shared" si="2"/>
        <v>54</v>
      </c>
      <c r="I1579">
        <v>96.0</v>
      </c>
      <c r="J1579" t="str">
        <f t="shared" si="3"/>
        <v>304.8</v>
      </c>
      <c r="K1579" t="str">
        <f t="shared" si="4"/>
        <v>1094.232</v>
      </c>
      <c r="L1579" t="str">
        <f t="shared" si="5"/>
        <v>2.026355556</v>
      </c>
      <c r="M1579" t="str">
        <f t="shared" si="6"/>
        <v>359</v>
      </c>
      <c r="N1579" t="s">
        <v>187</v>
      </c>
      <c r="O1579" t="s">
        <v>2760</v>
      </c>
      <c r="P1579" t="s">
        <v>823</v>
      </c>
    </row>
    <row r="1580" ht="15.75" customHeight="1">
      <c r="A1580">
        <v>1590.0</v>
      </c>
      <c r="B1580">
        <v>105.0</v>
      </c>
      <c r="C1580">
        <v>145.0</v>
      </c>
      <c r="D1580">
        <v>3.0</v>
      </c>
      <c r="E1580" t="str">
        <f t="shared" si="7"/>
        <v>7.4</v>
      </c>
      <c r="F1580">
        <v>2.0</v>
      </c>
      <c r="G1580">
        <v>2.0</v>
      </c>
      <c r="H1580" t="str">
        <f t="shared" si="2"/>
        <v>4</v>
      </c>
      <c r="I1580">
        <v>96.0</v>
      </c>
      <c r="J1580" t="str">
        <f t="shared" si="3"/>
        <v>304.8</v>
      </c>
      <c r="K1580" t="str">
        <f t="shared" si="4"/>
        <v>710.184</v>
      </c>
      <c r="L1580" t="str">
        <f t="shared" si="5"/>
        <v>17.7546</v>
      </c>
      <c r="M1580" t="str">
        <f t="shared" si="6"/>
        <v>233</v>
      </c>
      <c r="N1580" t="s">
        <v>187</v>
      </c>
      <c r="O1580" t="s">
        <v>2761</v>
      </c>
      <c r="P1580" t="s">
        <v>2629</v>
      </c>
    </row>
    <row r="1581" ht="15.75" customHeight="1">
      <c r="A1581">
        <v>1591.0</v>
      </c>
      <c r="B1581">
        <v>112.0</v>
      </c>
      <c r="C1581">
        <v>62.0</v>
      </c>
      <c r="D1581">
        <v>3.0</v>
      </c>
      <c r="E1581" t="str">
        <f t="shared" si="7"/>
        <v>4.675</v>
      </c>
      <c r="F1581">
        <v>2.0</v>
      </c>
      <c r="G1581">
        <v>4.0</v>
      </c>
      <c r="H1581" t="str">
        <f t="shared" si="2"/>
        <v>8</v>
      </c>
      <c r="I1581">
        <v>84.0</v>
      </c>
      <c r="J1581" t="str">
        <f t="shared" si="3"/>
        <v>266.7</v>
      </c>
      <c r="K1581" t="str">
        <f t="shared" si="4"/>
        <v>658.749</v>
      </c>
      <c r="L1581" t="str">
        <f t="shared" si="5"/>
        <v>8.2343625</v>
      </c>
      <c r="M1581" t="str">
        <f t="shared" si="6"/>
        <v>247</v>
      </c>
      <c r="N1581" t="s">
        <v>187</v>
      </c>
      <c r="O1581" t="s">
        <v>2762</v>
      </c>
      <c r="P1581" t="s">
        <v>1876</v>
      </c>
    </row>
    <row r="1582" ht="15.75" customHeight="1">
      <c r="A1582">
        <v>1592.0</v>
      </c>
      <c r="B1582">
        <v>55.0</v>
      </c>
      <c r="C1582">
        <v>105.0</v>
      </c>
      <c r="D1582">
        <v>3.0</v>
      </c>
      <c r="E1582" t="str">
        <f t="shared" si="7"/>
        <v>2.95</v>
      </c>
      <c r="F1582">
        <v>5.0</v>
      </c>
      <c r="G1582">
        <v>3.0</v>
      </c>
      <c r="H1582" t="str">
        <f t="shared" si="2"/>
        <v>15</v>
      </c>
      <c r="I1582">
        <v>102.0</v>
      </c>
      <c r="J1582" t="str">
        <f t="shared" si="3"/>
        <v>323.85</v>
      </c>
      <c r="K1582" t="str">
        <f t="shared" si="4"/>
        <v>994.2195</v>
      </c>
      <c r="L1582" t="str">
        <f t="shared" si="5"/>
        <v>6.62813</v>
      </c>
      <c r="M1582" t="str">
        <f t="shared" si="6"/>
        <v>307</v>
      </c>
      <c r="N1582" t="s">
        <v>187</v>
      </c>
      <c r="O1582" t="s">
        <v>2763</v>
      </c>
      <c r="P1582" t="s">
        <v>2629</v>
      </c>
    </row>
    <row r="1583" ht="15.75" customHeight="1">
      <c r="A1583">
        <v>1593.0</v>
      </c>
      <c r="B1583">
        <v>79.0</v>
      </c>
      <c r="C1583">
        <v>240.0</v>
      </c>
      <c r="D1583">
        <v>3.0</v>
      </c>
      <c r="E1583" t="str">
        <f t="shared" si="7"/>
        <v>2.8875</v>
      </c>
      <c r="F1583">
        <v>4.0</v>
      </c>
      <c r="G1583">
        <v>2.0</v>
      </c>
      <c r="H1583" t="str">
        <f t="shared" si="2"/>
        <v>8</v>
      </c>
      <c r="I1583">
        <v>153.0</v>
      </c>
      <c r="J1583" t="str">
        <f t="shared" si="3"/>
        <v>485.775</v>
      </c>
      <c r="K1583" t="str">
        <f t="shared" si="4"/>
        <v>1675.92375</v>
      </c>
      <c r="L1583" t="str">
        <f t="shared" si="5"/>
        <v>20.94904688</v>
      </c>
      <c r="M1583" t="str">
        <f t="shared" si="6"/>
        <v>345</v>
      </c>
      <c r="N1583" t="s">
        <v>187</v>
      </c>
      <c r="O1583" t="s">
        <v>2764</v>
      </c>
      <c r="P1583" s="126" t="s">
        <v>2759</v>
      </c>
    </row>
    <row r="1584" ht="15.75" customHeight="1">
      <c r="A1584">
        <v>1594.0</v>
      </c>
      <c r="B1584">
        <v>208.0</v>
      </c>
      <c r="C1584">
        <v>79.5</v>
      </c>
      <c r="D1584">
        <v>5.0</v>
      </c>
      <c r="E1584" t="str">
        <f t="shared" si="7"/>
        <v>3.84375</v>
      </c>
      <c r="F1584">
        <v>1.0</v>
      </c>
      <c r="G1584">
        <v>4.0</v>
      </c>
      <c r="H1584" t="str">
        <f t="shared" si="2"/>
        <v>4</v>
      </c>
      <c r="I1584">
        <v>105.0</v>
      </c>
      <c r="J1584" t="str">
        <f t="shared" si="3"/>
        <v>333.375</v>
      </c>
      <c r="K1584" t="str">
        <f t="shared" si="4"/>
        <v>766.7625</v>
      </c>
      <c r="L1584" t="str">
        <f t="shared" si="5"/>
        <v>19.1690625</v>
      </c>
      <c r="M1584" t="str">
        <f t="shared" si="6"/>
        <v>230</v>
      </c>
      <c r="N1584" t="s">
        <v>187</v>
      </c>
      <c r="O1584" t="s">
        <v>2765</v>
      </c>
      <c r="P1584" t="s">
        <v>1876</v>
      </c>
    </row>
    <row r="1585" ht="15.75" customHeight="1">
      <c r="A1585">
        <v>1595.0</v>
      </c>
      <c r="B1585">
        <v>192.3</v>
      </c>
      <c r="C1585">
        <v>145.6</v>
      </c>
      <c r="D1585">
        <v>3.0</v>
      </c>
      <c r="E1585" t="str">
        <f t="shared" si="7"/>
        <v>6.8</v>
      </c>
      <c r="F1585">
        <v>1.0</v>
      </c>
      <c r="G1585">
        <v>2.0</v>
      </c>
      <c r="H1585" t="str">
        <f t="shared" si="2"/>
        <v>2</v>
      </c>
      <c r="I1585">
        <v>96.0</v>
      </c>
      <c r="J1585" t="str">
        <f t="shared" si="3"/>
        <v>304.8</v>
      </c>
      <c r="K1585" t="str">
        <f t="shared" si="4"/>
        <v>647.0904</v>
      </c>
      <c r="L1585" t="str">
        <f t="shared" si="5"/>
        <v>32.35452</v>
      </c>
      <c r="M1585" t="str">
        <f t="shared" si="6"/>
        <v>212.3</v>
      </c>
      <c r="N1585" t="s">
        <v>187</v>
      </c>
      <c r="O1585" t="s">
        <v>2766</v>
      </c>
      <c r="P1585" t="s">
        <v>2767</v>
      </c>
    </row>
    <row r="1586" ht="15.75" customHeight="1">
      <c r="A1586">
        <v>1596.0</v>
      </c>
      <c r="B1586">
        <v>157.5</v>
      </c>
      <c r="C1586">
        <v>124.0</v>
      </c>
      <c r="D1586">
        <v>5.0</v>
      </c>
      <c r="E1586" t="str">
        <f t="shared" si="7"/>
        <v>3</v>
      </c>
      <c r="F1586">
        <v>2.0</v>
      </c>
      <c r="G1586">
        <v>3.0</v>
      </c>
      <c r="H1586" t="str">
        <f t="shared" si="2"/>
        <v>6</v>
      </c>
      <c r="I1586">
        <v>120.0</v>
      </c>
      <c r="J1586" t="str">
        <f t="shared" si="3"/>
        <v>381</v>
      </c>
      <c r="K1586" t="str">
        <f t="shared" si="4"/>
        <v>1303.02</v>
      </c>
      <c r="L1586" t="str">
        <f t="shared" si="5"/>
        <v>21.717</v>
      </c>
      <c r="M1586" t="str">
        <f t="shared" si="6"/>
        <v>342</v>
      </c>
      <c r="N1586" t="s">
        <v>187</v>
      </c>
      <c r="O1586" t="s">
        <v>2768</v>
      </c>
      <c r="P1586" t="s">
        <v>2767</v>
      </c>
    </row>
    <row r="1587" ht="15.75" customHeight="1">
      <c r="A1587">
        <v>1597.0</v>
      </c>
      <c r="B1587">
        <v>97.0</v>
      </c>
      <c r="C1587">
        <v>63.5</v>
      </c>
      <c r="D1587">
        <v>3.0</v>
      </c>
      <c r="E1587" t="str">
        <f t="shared" si="7"/>
        <v>3.175</v>
      </c>
      <c r="F1587">
        <v>2.0</v>
      </c>
      <c r="G1587">
        <v>5.0</v>
      </c>
      <c r="H1587" t="str">
        <f t="shared" si="2"/>
        <v>10</v>
      </c>
      <c r="I1587">
        <v>105.0</v>
      </c>
      <c r="J1587" t="str">
        <f t="shared" si="3"/>
        <v>333.375</v>
      </c>
      <c r="K1587" t="str">
        <f t="shared" si="4"/>
        <v>723.42375</v>
      </c>
      <c r="L1587" t="str">
        <f t="shared" si="5"/>
        <v>7.2342375</v>
      </c>
      <c r="M1587" t="str">
        <f t="shared" si="6"/>
        <v>217</v>
      </c>
      <c r="N1587" t="s">
        <v>187</v>
      </c>
      <c r="O1587" t="s">
        <v>2769</v>
      </c>
      <c r="P1587" t="s">
        <v>1902</v>
      </c>
    </row>
    <row r="1588" ht="15.75" customHeight="1">
      <c r="A1588">
        <v>1598.0</v>
      </c>
      <c r="B1588">
        <v>150.0</v>
      </c>
      <c r="C1588">
        <v>110.0</v>
      </c>
      <c r="D1588">
        <v>3.0</v>
      </c>
      <c r="E1588" t="str">
        <f t="shared" si="7"/>
        <v>4.3</v>
      </c>
      <c r="F1588">
        <v>2.0</v>
      </c>
      <c r="G1588">
        <v>3.0</v>
      </c>
      <c r="H1588" t="str">
        <f t="shared" si="2"/>
        <v>6</v>
      </c>
      <c r="I1588">
        <v>108.0</v>
      </c>
      <c r="J1588" t="str">
        <f t="shared" si="3"/>
        <v>342.9</v>
      </c>
      <c r="K1588" t="str">
        <f t="shared" si="4"/>
        <v>1107.567</v>
      </c>
      <c r="L1588" t="str">
        <f t="shared" si="5"/>
        <v>18.45945</v>
      </c>
      <c r="M1588" t="str">
        <f t="shared" si="6"/>
        <v>323</v>
      </c>
      <c r="N1588" t="s">
        <v>187</v>
      </c>
      <c r="O1588" t="s">
        <v>2770</v>
      </c>
      <c r="P1588" t="s">
        <v>823</v>
      </c>
    </row>
    <row r="1589" ht="15.75" customHeight="1">
      <c r="A1589">
        <v>1599.0</v>
      </c>
      <c r="B1589">
        <v>150.0</v>
      </c>
      <c r="C1589">
        <v>102.0</v>
      </c>
      <c r="D1589">
        <v>3.0</v>
      </c>
      <c r="E1589" t="str">
        <f t="shared" si="7"/>
        <v>5.95</v>
      </c>
      <c r="F1589">
        <v>2.0</v>
      </c>
      <c r="G1589">
        <v>3.0</v>
      </c>
      <c r="H1589" t="str">
        <f t="shared" si="2"/>
        <v>6</v>
      </c>
      <c r="I1589">
        <v>102.0</v>
      </c>
      <c r="J1589" t="str">
        <f t="shared" si="3"/>
        <v>323.85</v>
      </c>
      <c r="K1589" t="str">
        <f t="shared" si="4"/>
        <v>1046.0355</v>
      </c>
      <c r="L1589" t="str">
        <f t="shared" si="5"/>
        <v>17.433925</v>
      </c>
      <c r="M1589" t="str">
        <f t="shared" si="6"/>
        <v>323</v>
      </c>
      <c r="N1589" t="s">
        <v>187</v>
      </c>
      <c r="O1589" t="s">
        <v>2771</v>
      </c>
      <c r="P1589" t="s">
        <v>823</v>
      </c>
    </row>
    <row r="1590" ht="15.75" customHeight="1">
      <c r="A1590">
        <v>1600.0</v>
      </c>
      <c r="B1590">
        <v>90.0</v>
      </c>
      <c r="C1590">
        <v>183.0</v>
      </c>
      <c r="D1590">
        <v>3.0</v>
      </c>
      <c r="E1590" t="str">
        <f t="shared" si="7"/>
        <v>7.5</v>
      </c>
      <c r="F1590">
        <v>3.0</v>
      </c>
      <c r="G1590">
        <v>2.0</v>
      </c>
      <c r="H1590" t="str">
        <f t="shared" si="2"/>
        <v>6</v>
      </c>
      <c r="I1590">
        <v>120.0</v>
      </c>
      <c r="J1590" t="str">
        <f t="shared" si="3"/>
        <v>381</v>
      </c>
      <c r="K1590" t="str">
        <f t="shared" si="4"/>
        <v>1127.76</v>
      </c>
      <c r="L1590" t="str">
        <f t="shared" si="5"/>
        <v>18.796</v>
      </c>
      <c r="M1590" t="str">
        <f t="shared" si="6"/>
        <v>296</v>
      </c>
      <c r="N1590" t="s">
        <v>187</v>
      </c>
      <c r="O1590" t="s">
        <v>2772</v>
      </c>
      <c r="P1590" s="126" t="s">
        <v>2773</v>
      </c>
    </row>
    <row r="1591" ht="15.75" customHeight="1">
      <c r="A1591">
        <v>1601.0</v>
      </c>
      <c r="B1591">
        <v>67.0</v>
      </c>
      <c r="C1591">
        <v>150.0</v>
      </c>
      <c r="D1591">
        <v>3.0</v>
      </c>
      <c r="E1591" t="str">
        <f t="shared" si="7"/>
        <v>5.575</v>
      </c>
      <c r="F1591">
        <v>4.0</v>
      </c>
      <c r="G1591">
        <v>2.0</v>
      </c>
      <c r="H1591" t="str">
        <f t="shared" si="2"/>
        <v>8</v>
      </c>
      <c r="I1591">
        <v>98.0</v>
      </c>
      <c r="J1591" t="str">
        <f t="shared" si="3"/>
        <v>311.15</v>
      </c>
      <c r="K1591" t="str">
        <f t="shared" si="4"/>
        <v>924.1155</v>
      </c>
      <c r="L1591" t="str">
        <f t="shared" si="5"/>
        <v>11.55144375</v>
      </c>
      <c r="M1591" t="str">
        <f t="shared" si="6"/>
        <v>297</v>
      </c>
      <c r="N1591" t="s">
        <v>187</v>
      </c>
      <c r="O1591" t="s">
        <v>2774</v>
      </c>
      <c r="P1591" s="126" t="s">
        <v>2773</v>
      </c>
    </row>
    <row r="1592" ht="15.75" customHeight="1">
      <c r="A1592">
        <v>1602.0</v>
      </c>
      <c r="B1592">
        <v>20.0</v>
      </c>
      <c r="C1592">
        <v>111.0</v>
      </c>
      <c r="D1592">
        <v>3.0</v>
      </c>
      <c r="E1592" t="str">
        <f t="shared" si="7"/>
        <v>3.3</v>
      </c>
      <c r="F1592">
        <v>14.0</v>
      </c>
      <c r="G1592">
        <v>3.0</v>
      </c>
      <c r="H1592" t="str">
        <f t="shared" si="2"/>
        <v>42</v>
      </c>
      <c r="I1592">
        <v>108.0</v>
      </c>
      <c r="J1592" t="str">
        <f t="shared" si="3"/>
        <v>342.9</v>
      </c>
      <c r="K1592" t="str">
        <f t="shared" si="4"/>
        <v>1162.431</v>
      </c>
      <c r="L1592" t="str">
        <f t="shared" si="5"/>
        <v>2.767692857</v>
      </c>
      <c r="M1592" t="str">
        <f t="shared" si="6"/>
        <v>339</v>
      </c>
      <c r="N1592" t="s">
        <v>187</v>
      </c>
      <c r="O1592" t="s">
        <v>2775</v>
      </c>
      <c r="P1592" t="s">
        <v>823</v>
      </c>
    </row>
    <row r="1593" ht="15.75" customHeight="1">
      <c r="A1593">
        <v>1603.0</v>
      </c>
      <c r="B1593">
        <v>80.0</v>
      </c>
      <c r="C1593">
        <v>48.0</v>
      </c>
      <c r="D1593">
        <v>3.0</v>
      </c>
      <c r="E1593" t="str">
        <f t="shared" si="7"/>
        <v>5.34</v>
      </c>
      <c r="F1593">
        <v>4.0</v>
      </c>
      <c r="G1593">
        <v>5.0</v>
      </c>
      <c r="H1593" t="str">
        <f t="shared" si="2"/>
        <v>20</v>
      </c>
      <c r="I1593">
        <v>84.0</v>
      </c>
      <c r="J1593" t="str">
        <f t="shared" si="3"/>
        <v>266.7</v>
      </c>
      <c r="K1593" t="str">
        <f t="shared" si="4"/>
        <v>930.783</v>
      </c>
      <c r="L1593" t="str">
        <f t="shared" si="5"/>
        <v>4.653915</v>
      </c>
      <c r="M1593" t="str">
        <f t="shared" si="6"/>
        <v>349</v>
      </c>
      <c r="N1593" t="s">
        <v>187</v>
      </c>
      <c r="O1593" t="s">
        <v>2776</v>
      </c>
      <c r="P1593" s="126" t="s">
        <v>2773</v>
      </c>
    </row>
    <row r="1594" ht="15.75" customHeight="1">
      <c r="A1594">
        <v>1604.0</v>
      </c>
      <c r="B1594">
        <v>37.0</v>
      </c>
      <c r="C1594">
        <v>37.0</v>
      </c>
      <c r="D1594">
        <v>3.0</v>
      </c>
      <c r="E1594" t="str">
        <f t="shared" si="7"/>
        <v>3.821428571</v>
      </c>
      <c r="F1594">
        <v>8.0</v>
      </c>
      <c r="G1594">
        <v>7.0</v>
      </c>
      <c r="H1594" t="str">
        <f t="shared" si="2"/>
        <v>56</v>
      </c>
      <c r="I1594">
        <v>90.0</v>
      </c>
      <c r="J1594" t="str">
        <f t="shared" si="3"/>
        <v>285.75</v>
      </c>
      <c r="K1594" t="str">
        <f t="shared" si="4"/>
        <v>962.9775</v>
      </c>
      <c r="L1594" t="str">
        <f t="shared" si="5"/>
        <v>1.719602679</v>
      </c>
      <c r="M1594" t="str">
        <f t="shared" si="6"/>
        <v>337</v>
      </c>
      <c r="N1594" t="s">
        <v>187</v>
      </c>
      <c r="O1594" t="s">
        <v>2777</v>
      </c>
      <c r="P1594" s="126" t="s">
        <v>2778</v>
      </c>
    </row>
    <row r="1595" ht="15.75" customHeight="1">
      <c r="A1595">
        <v>1605.0</v>
      </c>
      <c r="B1595">
        <v>43.0</v>
      </c>
      <c r="C1595">
        <v>43.0</v>
      </c>
      <c r="D1595">
        <v>3.0</v>
      </c>
      <c r="E1595" t="str">
        <f t="shared" si="7"/>
        <v>3.566666667</v>
      </c>
      <c r="F1595">
        <v>6.0</v>
      </c>
      <c r="G1595">
        <v>6.0</v>
      </c>
      <c r="H1595" t="str">
        <f t="shared" si="2"/>
        <v>36</v>
      </c>
      <c r="I1595">
        <v>88.0</v>
      </c>
      <c r="J1595" t="str">
        <f t="shared" si="3"/>
        <v>279.4</v>
      </c>
      <c r="K1595" t="str">
        <f t="shared" si="4"/>
        <v>818.642</v>
      </c>
      <c r="L1595" t="str">
        <f t="shared" si="5"/>
        <v>2.274005556</v>
      </c>
      <c r="M1595" t="str">
        <f t="shared" si="6"/>
        <v>293</v>
      </c>
      <c r="N1595" t="s">
        <v>187</v>
      </c>
      <c r="O1595" t="s">
        <v>2779</v>
      </c>
      <c r="P1595" s="126" t="s">
        <v>2778</v>
      </c>
    </row>
    <row r="1596" ht="15.75" customHeight="1">
      <c r="A1596">
        <v>1606.0</v>
      </c>
      <c r="B1596">
        <v>43.0</v>
      </c>
      <c r="C1596">
        <v>31.0</v>
      </c>
      <c r="D1596">
        <v>3.0</v>
      </c>
      <c r="E1596" t="str">
        <f t="shared" si="7"/>
        <v>3.13125</v>
      </c>
      <c r="F1596">
        <v>5.0</v>
      </c>
      <c r="G1596">
        <v>8.0</v>
      </c>
      <c r="H1596" t="str">
        <f t="shared" si="2"/>
        <v>40</v>
      </c>
      <c r="I1596">
        <v>86.0</v>
      </c>
      <c r="J1596" t="str">
        <f t="shared" si="3"/>
        <v>273.05</v>
      </c>
      <c r="K1596" t="str">
        <f t="shared" si="4"/>
        <v>674.4335</v>
      </c>
      <c r="L1596" t="str">
        <f t="shared" si="5"/>
        <v>1.68608375</v>
      </c>
      <c r="M1596" t="str">
        <f t="shared" si="6"/>
        <v>247</v>
      </c>
      <c r="N1596" t="s">
        <v>187</v>
      </c>
      <c r="O1596" t="s">
        <v>2780</v>
      </c>
      <c r="P1596" t="s">
        <v>2781</v>
      </c>
    </row>
    <row r="1597" ht="15.75" customHeight="1">
      <c r="A1597">
        <v>1607.0</v>
      </c>
      <c r="B1597">
        <v>43.0</v>
      </c>
      <c r="C1597">
        <v>31.0</v>
      </c>
      <c r="D1597">
        <v>3.0</v>
      </c>
      <c r="E1597" t="str">
        <f t="shared" si="7"/>
        <v>3.13125</v>
      </c>
      <c r="F1597">
        <v>5.0</v>
      </c>
      <c r="G1597">
        <v>8.0</v>
      </c>
      <c r="H1597" t="str">
        <f t="shared" si="2"/>
        <v>40</v>
      </c>
      <c r="I1597">
        <v>86.0</v>
      </c>
      <c r="J1597" t="str">
        <f t="shared" si="3"/>
        <v>273.05</v>
      </c>
      <c r="K1597" t="str">
        <f t="shared" si="4"/>
        <v>674.4335</v>
      </c>
      <c r="L1597" t="str">
        <f t="shared" si="5"/>
        <v>1.68608375</v>
      </c>
      <c r="M1597" t="str">
        <f t="shared" si="6"/>
        <v>247</v>
      </c>
      <c r="N1597" t="s">
        <v>187</v>
      </c>
      <c r="O1597" t="s">
        <v>2782</v>
      </c>
      <c r="P1597" t="s">
        <v>2781</v>
      </c>
    </row>
    <row r="1598" ht="15.75" customHeight="1">
      <c r="A1598">
        <v>1608.0</v>
      </c>
      <c r="B1598">
        <v>35.0</v>
      </c>
      <c r="C1598">
        <v>24.82</v>
      </c>
      <c r="D1598">
        <v>3.0</v>
      </c>
      <c r="E1598" t="str">
        <f t="shared" si="7"/>
        <v>3.12</v>
      </c>
      <c r="F1598">
        <v>9.0</v>
      </c>
      <c r="G1598">
        <v>10.0</v>
      </c>
      <c r="H1598" t="str">
        <f t="shared" si="2"/>
        <v>90</v>
      </c>
      <c r="I1598">
        <v>88.0</v>
      </c>
      <c r="J1598" t="str">
        <f t="shared" si="3"/>
        <v>279.4</v>
      </c>
      <c r="K1598" t="str">
        <f t="shared" si="4"/>
        <v>1003.046</v>
      </c>
      <c r="L1598" t="str">
        <f t="shared" si="5"/>
        <v>1.114495556</v>
      </c>
      <c r="M1598" t="str">
        <f t="shared" si="6"/>
        <v>359</v>
      </c>
      <c r="N1598" t="s">
        <v>187</v>
      </c>
      <c r="O1598" t="s">
        <v>2783</v>
      </c>
    </row>
    <row r="1599" ht="15.75" customHeight="1">
      <c r="A1599">
        <v>1609.0</v>
      </c>
      <c r="B1599">
        <v>34.0</v>
      </c>
      <c r="C1599">
        <v>9.0</v>
      </c>
      <c r="D1599">
        <v>0.0</v>
      </c>
      <c r="E1599" t="str">
        <f t="shared" si="7"/>
        <v>2.87173913</v>
      </c>
      <c r="F1599">
        <v>9.0</v>
      </c>
      <c r="G1599">
        <v>23.0</v>
      </c>
      <c r="H1599" t="str">
        <f t="shared" si="2"/>
        <v>207</v>
      </c>
      <c r="I1599">
        <v>86.0</v>
      </c>
      <c r="J1599" t="str">
        <f t="shared" si="3"/>
        <v>273.05</v>
      </c>
      <c r="K1599" t="str">
        <f t="shared" si="4"/>
        <v>881.9515</v>
      </c>
      <c r="L1599" t="str">
        <f t="shared" si="5"/>
        <v>0.4260635266</v>
      </c>
      <c r="M1599" t="str">
        <f t="shared" si="6"/>
        <v>323</v>
      </c>
      <c r="N1599" t="s">
        <v>187</v>
      </c>
      <c r="O1599" t="s">
        <v>2784</v>
      </c>
      <c r="P1599" t="s">
        <v>2785</v>
      </c>
    </row>
    <row r="1600" ht="15.75" customHeight="1">
      <c r="A1600">
        <v>1610.0</v>
      </c>
      <c r="B1600">
        <v>100.0</v>
      </c>
      <c r="C1600">
        <v>100.0</v>
      </c>
      <c r="D1600">
        <v>3.0</v>
      </c>
      <c r="E1600" t="str">
        <f t="shared" si="7"/>
        <v>3.716666667</v>
      </c>
      <c r="F1600">
        <v>3.0</v>
      </c>
      <c r="G1600">
        <v>3.0</v>
      </c>
      <c r="H1600" t="str">
        <f t="shared" si="2"/>
        <v>9</v>
      </c>
      <c r="I1600">
        <v>98.0</v>
      </c>
      <c r="J1600" t="str">
        <f t="shared" si="3"/>
        <v>311.15</v>
      </c>
      <c r="K1600" t="str">
        <f t="shared" si="4"/>
        <v>1014.349</v>
      </c>
      <c r="L1600" t="str">
        <f t="shared" si="5"/>
        <v>11.27054444</v>
      </c>
      <c r="M1600" t="str">
        <f t="shared" si="6"/>
        <v>326</v>
      </c>
      <c r="N1600" t="s">
        <v>187</v>
      </c>
      <c r="O1600" t="s">
        <v>2786</v>
      </c>
      <c r="P1600" t="s">
        <v>823</v>
      </c>
    </row>
    <row r="1601" ht="15.75" customHeight="1">
      <c r="A1601">
        <v>1611.0</v>
      </c>
      <c r="B1601">
        <v>26.0</v>
      </c>
      <c r="C1601">
        <v>235.0</v>
      </c>
      <c r="D1601">
        <v>3.0</v>
      </c>
      <c r="E1601" t="str">
        <f t="shared" si="7"/>
        <v>7.8875</v>
      </c>
      <c r="F1601">
        <v>6.0</v>
      </c>
      <c r="G1601">
        <v>2.0</v>
      </c>
      <c r="H1601" t="str">
        <f t="shared" si="2"/>
        <v>12</v>
      </c>
      <c r="I1601">
        <v>153.0</v>
      </c>
      <c r="J1601" t="str">
        <f t="shared" si="3"/>
        <v>485.775</v>
      </c>
      <c r="K1601" t="str">
        <f t="shared" si="4"/>
        <v>927.83025</v>
      </c>
      <c r="L1601" t="str">
        <f t="shared" si="5"/>
        <v>7.73191875</v>
      </c>
      <c r="M1601" t="str">
        <f t="shared" si="6"/>
        <v>191</v>
      </c>
      <c r="N1601" t="s">
        <v>187</v>
      </c>
      <c r="O1601" t="s">
        <v>2787</v>
      </c>
      <c r="P1601" t="s">
        <v>823</v>
      </c>
    </row>
    <row r="1602" ht="15.75" customHeight="1">
      <c r="A1602">
        <v>1612.0</v>
      </c>
      <c r="B1602">
        <v>20.0</v>
      </c>
      <c r="C1602">
        <v>225.0</v>
      </c>
      <c r="D1602">
        <v>3.0</v>
      </c>
      <c r="E1602" t="str">
        <f t="shared" si="7"/>
        <v>9.95</v>
      </c>
      <c r="F1602">
        <v>12.0</v>
      </c>
      <c r="G1602">
        <v>2.0</v>
      </c>
      <c r="H1602" t="str">
        <f t="shared" si="2"/>
        <v>24</v>
      </c>
      <c r="I1602">
        <v>148.0</v>
      </c>
      <c r="J1602" t="str">
        <f t="shared" si="3"/>
        <v>469.9</v>
      </c>
      <c r="K1602" t="str">
        <f t="shared" si="4"/>
        <v>1376.807</v>
      </c>
      <c r="L1602" t="str">
        <f t="shared" si="5"/>
        <v>5.736695833</v>
      </c>
      <c r="M1602" t="str">
        <f t="shared" si="6"/>
        <v>293</v>
      </c>
      <c r="N1602" t="s">
        <v>187</v>
      </c>
      <c r="O1602" t="s">
        <v>2788</v>
      </c>
      <c r="P1602" t="s">
        <v>2629</v>
      </c>
    </row>
    <row r="1603" ht="15.75" customHeight="1">
      <c r="A1603">
        <v>1613.0</v>
      </c>
      <c r="B1603">
        <v>65.5</v>
      </c>
      <c r="C1603">
        <v>71.0</v>
      </c>
      <c r="D1603">
        <v>3.0</v>
      </c>
      <c r="E1603" t="str">
        <f t="shared" si="7"/>
        <v>5.2</v>
      </c>
      <c r="F1603">
        <v>4.0</v>
      </c>
      <c r="G1603">
        <v>5.0</v>
      </c>
      <c r="H1603" t="str">
        <f t="shared" si="2"/>
        <v>20</v>
      </c>
      <c r="I1603">
        <v>120.0</v>
      </c>
      <c r="J1603" t="str">
        <f t="shared" si="3"/>
        <v>381</v>
      </c>
      <c r="K1603" t="str">
        <f t="shared" si="4"/>
        <v>1108.71</v>
      </c>
      <c r="L1603" t="str">
        <f t="shared" si="5"/>
        <v>5.54355</v>
      </c>
      <c r="M1603" t="str">
        <f t="shared" si="6"/>
        <v>291</v>
      </c>
      <c r="N1603" t="s">
        <v>187</v>
      </c>
      <c r="O1603" t="s">
        <v>2789</v>
      </c>
      <c r="P1603" s="126" t="s">
        <v>2790</v>
      </c>
    </row>
    <row r="1604" ht="15.75" customHeight="1">
      <c r="A1604">
        <v>1614.0</v>
      </c>
      <c r="B1604">
        <v>102.0</v>
      </c>
      <c r="C1604">
        <v>55.0</v>
      </c>
      <c r="D1604">
        <v>3.0</v>
      </c>
      <c r="E1604" t="str">
        <f t="shared" si="7"/>
        <v>5.96</v>
      </c>
      <c r="F1604">
        <v>2.0</v>
      </c>
      <c r="G1604">
        <v>5.0</v>
      </c>
      <c r="H1604" t="str">
        <f t="shared" si="2"/>
        <v>10</v>
      </c>
      <c r="I1604">
        <v>96.0</v>
      </c>
      <c r="J1604" t="str">
        <f t="shared" si="3"/>
        <v>304.8</v>
      </c>
      <c r="K1604" t="str">
        <f t="shared" si="4"/>
        <v>691.896</v>
      </c>
      <c r="L1604" t="str">
        <f t="shared" si="5"/>
        <v>6.91896</v>
      </c>
      <c r="M1604" t="str">
        <f t="shared" si="6"/>
        <v>227</v>
      </c>
      <c r="N1604" t="s">
        <v>187</v>
      </c>
      <c r="O1604" t="s">
        <v>2791</v>
      </c>
      <c r="P1604" s="126" t="s">
        <v>2792</v>
      </c>
    </row>
    <row r="1605" ht="15.75" customHeight="1">
      <c r="A1605">
        <v>1615.0</v>
      </c>
      <c r="B1605">
        <v>55.0</v>
      </c>
      <c r="C1605">
        <v>130.0</v>
      </c>
      <c r="D1605">
        <v>3.0</v>
      </c>
      <c r="E1605" t="str">
        <f t="shared" si="7"/>
        <v>3.35</v>
      </c>
      <c r="F1605">
        <v>5.0</v>
      </c>
      <c r="G1605">
        <v>2.0</v>
      </c>
      <c r="H1605" t="str">
        <f t="shared" si="2"/>
        <v>10</v>
      </c>
      <c r="I1605">
        <v>84.0</v>
      </c>
      <c r="J1605" t="str">
        <f t="shared" si="3"/>
        <v>266.7</v>
      </c>
      <c r="K1605" t="str">
        <f t="shared" si="4"/>
        <v>818.769</v>
      </c>
      <c r="L1605" t="str">
        <f t="shared" si="5"/>
        <v>8.18769</v>
      </c>
      <c r="M1605" t="str">
        <f t="shared" si="6"/>
        <v>307</v>
      </c>
      <c r="N1605" t="s">
        <v>187</v>
      </c>
      <c r="O1605" t="s">
        <v>2793</v>
      </c>
      <c r="P1605" t="s">
        <v>2629</v>
      </c>
    </row>
    <row r="1606" ht="15.75" customHeight="1">
      <c r="A1606">
        <v>1616.0</v>
      </c>
      <c r="B1606">
        <v>35.0</v>
      </c>
      <c r="C1606">
        <v>24.82</v>
      </c>
      <c r="D1606">
        <v>3.0</v>
      </c>
      <c r="E1606" t="str">
        <f t="shared" si="7"/>
        <v>3.12</v>
      </c>
      <c r="F1606">
        <v>9.0</v>
      </c>
      <c r="G1606">
        <v>10.0</v>
      </c>
      <c r="H1606" t="str">
        <f t="shared" si="2"/>
        <v>90</v>
      </c>
      <c r="I1606">
        <v>88.0</v>
      </c>
      <c r="J1606" t="str">
        <f t="shared" si="3"/>
        <v>279.4</v>
      </c>
      <c r="K1606" t="str">
        <f t="shared" si="4"/>
        <v>1003.046</v>
      </c>
      <c r="L1606" t="str">
        <f t="shared" si="5"/>
        <v>1.114495556</v>
      </c>
      <c r="M1606" t="str">
        <f t="shared" si="6"/>
        <v>359</v>
      </c>
      <c r="N1606" t="s">
        <v>187</v>
      </c>
      <c r="O1606" t="s">
        <v>2794</v>
      </c>
      <c r="P1606" t="s">
        <v>2795</v>
      </c>
    </row>
    <row r="1607" ht="15.75" customHeight="1">
      <c r="A1607">
        <v>1617.0</v>
      </c>
      <c r="B1607">
        <v>125.0</v>
      </c>
      <c r="C1607">
        <v>54.0</v>
      </c>
      <c r="D1607">
        <v>3.0</v>
      </c>
      <c r="E1607" t="str">
        <f t="shared" si="7"/>
        <v>3.15</v>
      </c>
      <c r="F1607">
        <v>3.0</v>
      </c>
      <c r="G1607">
        <v>6.0</v>
      </c>
      <c r="H1607" t="str">
        <f t="shared" si="2"/>
        <v>18</v>
      </c>
      <c r="I1607">
        <v>108.0</v>
      </c>
      <c r="J1607" t="str">
        <f t="shared" si="3"/>
        <v>342.9</v>
      </c>
      <c r="K1607" t="str">
        <f t="shared" si="4"/>
        <v>1375.029</v>
      </c>
      <c r="L1607" t="str">
        <f t="shared" si="5"/>
        <v>7.63905</v>
      </c>
      <c r="M1607" t="str">
        <f t="shared" si="6"/>
        <v>401</v>
      </c>
      <c r="N1607" t="s">
        <v>187</v>
      </c>
      <c r="O1607" t="s">
        <v>2796</v>
      </c>
      <c r="P1607" t="s">
        <v>289</v>
      </c>
    </row>
    <row r="1608" ht="15.75" customHeight="1">
      <c r="A1608">
        <v>1618.0</v>
      </c>
      <c r="B1608">
        <v>104.0</v>
      </c>
      <c r="C1608">
        <v>70.0</v>
      </c>
      <c r="D1608">
        <v>3.0</v>
      </c>
      <c r="E1608" t="str">
        <f t="shared" si="7"/>
        <v>6.2</v>
      </c>
      <c r="F1608">
        <v>2.0</v>
      </c>
      <c r="G1608">
        <v>4.0</v>
      </c>
      <c r="H1608" t="str">
        <f t="shared" si="2"/>
        <v>8</v>
      </c>
      <c r="I1608">
        <v>96.0</v>
      </c>
      <c r="J1608" t="str">
        <f t="shared" si="3"/>
        <v>304.8</v>
      </c>
      <c r="K1608" t="str">
        <f t="shared" si="4"/>
        <v>704.088</v>
      </c>
      <c r="L1608" t="str">
        <f t="shared" si="5"/>
        <v>8.8011</v>
      </c>
      <c r="M1608" t="str">
        <f t="shared" si="6"/>
        <v>231</v>
      </c>
      <c r="N1608" t="s">
        <v>187</v>
      </c>
      <c r="O1608" t="s">
        <v>2797</v>
      </c>
      <c r="P1608" t="s">
        <v>823</v>
      </c>
    </row>
    <row r="1609" ht="15.75" customHeight="1">
      <c r="A1609">
        <v>1619.0</v>
      </c>
      <c r="B1609">
        <v>70.0</v>
      </c>
      <c r="C1609">
        <v>55.0</v>
      </c>
      <c r="D1609">
        <v>4.0</v>
      </c>
      <c r="E1609" t="str">
        <f t="shared" si="7"/>
        <v>3.208333333</v>
      </c>
      <c r="F1609">
        <v>2.0</v>
      </c>
      <c r="G1609">
        <v>6.0</v>
      </c>
      <c r="H1609" t="str">
        <f t="shared" si="2"/>
        <v>12</v>
      </c>
      <c r="I1609">
        <v>110.0</v>
      </c>
      <c r="J1609" t="str">
        <f t="shared" si="3"/>
        <v>349.25</v>
      </c>
      <c r="K1609" t="str">
        <f t="shared" si="4"/>
        <v>576.2625</v>
      </c>
      <c r="L1609" t="str">
        <f t="shared" si="5"/>
        <v>4.8021875</v>
      </c>
      <c r="M1609" t="str">
        <f t="shared" si="6"/>
        <v>165</v>
      </c>
      <c r="N1609" t="s">
        <v>187</v>
      </c>
      <c r="O1609" t="s">
        <v>2798</v>
      </c>
      <c r="P1609" s="126" t="s">
        <v>2799</v>
      </c>
    </row>
    <row r="1610" ht="15.75" customHeight="1">
      <c r="A1610">
        <v>1620.0</v>
      </c>
      <c r="B1610">
        <v>115.0</v>
      </c>
      <c r="C1610">
        <v>127.0</v>
      </c>
      <c r="D1610">
        <v>3.0</v>
      </c>
      <c r="E1610" t="str">
        <f t="shared" si="7"/>
        <v>6.35</v>
      </c>
      <c r="F1610">
        <v>2.0</v>
      </c>
      <c r="G1610">
        <v>2.0</v>
      </c>
      <c r="H1610" t="str">
        <f t="shared" si="2"/>
        <v>4</v>
      </c>
      <c r="I1610">
        <v>84.0</v>
      </c>
      <c r="J1610" t="str">
        <f t="shared" si="3"/>
        <v>266.7</v>
      </c>
      <c r="K1610" t="str">
        <f t="shared" si="4"/>
        <v>674.751</v>
      </c>
      <c r="L1610" t="str">
        <f t="shared" si="5"/>
        <v>16.868775</v>
      </c>
      <c r="M1610" t="str">
        <f t="shared" si="6"/>
        <v>253</v>
      </c>
      <c r="N1610" t="s">
        <v>187</v>
      </c>
      <c r="O1610" t="s">
        <v>2800</v>
      </c>
      <c r="P1610" t="s">
        <v>2629</v>
      </c>
    </row>
    <row r="1611" ht="15.75" customHeight="1">
      <c r="A1611">
        <v>1621.0</v>
      </c>
      <c r="B1611">
        <v>95.0</v>
      </c>
      <c r="C1611">
        <v>140.0</v>
      </c>
      <c r="D1611">
        <v>3.0</v>
      </c>
      <c r="E1611">
        <v>12.4</v>
      </c>
      <c r="F1611">
        <v>3.0</v>
      </c>
      <c r="G1611">
        <v>2.0</v>
      </c>
      <c r="H1611" t="str">
        <f t="shared" si="2"/>
        <v>6</v>
      </c>
      <c r="I1611">
        <v>96.0</v>
      </c>
      <c r="J1611" t="str">
        <f t="shared" si="3"/>
        <v>304.8</v>
      </c>
      <c r="K1611" t="str">
        <f t="shared" si="4"/>
        <v>947.928</v>
      </c>
      <c r="L1611" t="str">
        <f t="shared" si="5"/>
        <v>15.7988</v>
      </c>
      <c r="M1611" t="str">
        <f t="shared" si="6"/>
        <v>311</v>
      </c>
      <c r="N1611" t="s">
        <v>187</v>
      </c>
      <c r="O1611" t="s">
        <v>2801</v>
      </c>
      <c r="P1611" s="126" t="s">
        <v>2735</v>
      </c>
    </row>
    <row r="1612" ht="15.75" customHeight="1">
      <c r="A1612">
        <v>1622.0</v>
      </c>
      <c r="B1612">
        <v>61.5</v>
      </c>
      <c r="C1612">
        <v>65.5</v>
      </c>
      <c r="D1612">
        <v>3.0</v>
      </c>
      <c r="E1612" t="str">
        <f t="shared" ref="E1612:E1666" si="8">(J1612/G1612)-C1612</f>
        <v>2.7625</v>
      </c>
      <c r="F1612">
        <v>5.0</v>
      </c>
      <c r="G1612">
        <v>4.0</v>
      </c>
      <c r="H1612" t="str">
        <f t="shared" si="2"/>
        <v>20</v>
      </c>
      <c r="I1612">
        <v>86.0</v>
      </c>
      <c r="J1612" t="str">
        <f t="shared" si="3"/>
        <v>273.05</v>
      </c>
      <c r="K1612" t="str">
        <f t="shared" si="4"/>
        <v>927.00475</v>
      </c>
      <c r="L1612" t="str">
        <f t="shared" si="5"/>
        <v>4.63502375</v>
      </c>
      <c r="M1612" t="str">
        <f t="shared" si="6"/>
        <v>339.5</v>
      </c>
      <c r="N1612" t="s">
        <v>187</v>
      </c>
      <c r="O1612" t="s">
        <v>2802</v>
      </c>
      <c r="P1612" t="s">
        <v>823</v>
      </c>
    </row>
    <row r="1613" ht="15.75" customHeight="1">
      <c r="A1613">
        <v>1623.0</v>
      </c>
      <c r="B1613">
        <v>70.0</v>
      </c>
      <c r="C1613">
        <v>38.0</v>
      </c>
      <c r="D1613">
        <v>3.0</v>
      </c>
      <c r="E1613" t="str">
        <f t="shared" si="8"/>
        <v>2.821428571</v>
      </c>
      <c r="F1613">
        <v>4.0</v>
      </c>
      <c r="G1613">
        <v>7.0</v>
      </c>
      <c r="H1613" t="str">
        <f t="shared" si="2"/>
        <v>28</v>
      </c>
      <c r="I1613">
        <v>90.0</v>
      </c>
      <c r="J1613" t="str">
        <f t="shared" si="3"/>
        <v>285.75</v>
      </c>
      <c r="K1613" t="str">
        <f t="shared" si="4"/>
        <v>882.9675</v>
      </c>
      <c r="L1613" t="str">
        <f t="shared" si="5"/>
        <v>3.153455357</v>
      </c>
      <c r="M1613" t="str">
        <f t="shared" si="6"/>
        <v>309</v>
      </c>
      <c r="N1613" t="s">
        <v>187</v>
      </c>
      <c r="O1613" t="s">
        <v>2803</v>
      </c>
      <c r="P1613" t="s">
        <v>823</v>
      </c>
    </row>
    <row r="1614" ht="15.75" customHeight="1">
      <c r="A1614">
        <v>1624.0</v>
      </c>
      <c r="B1614">
        <v>13.0</v>
      </c>
      <c r="C1614">
        <v>26.0</v>
      </c>
      <c r="D1614">
        <v>3.0</v>
      </c>
      <c r="E1614" t="str">
        <f t="shared" si="8"/>
        <v>3.633333333</v>
      </c>
      <c r="F1614">
        <v>17.0</v>
      </c>
      <c r="G1614">
        <v>9.0</v>
      </c>
      <c r="H1614" t="str">
        <f t="shared" si="2"/>
        <v>153</v>
      </c>
      <c r="I1614">
        <v>84.0</v>
      </c>
      <c r="J1614" t="str">
        <f t="shared" si="3"/>
        <v>266.7</v>
      </c>
      <c r="K1614" t="str">
        <f t="shared" si="4"/>
        <v>770.763</v>
      </c>
      <c r="L1614" t="str">
        <f t="shared" si="5"/>
        <v>0.5037666667</v>
      </c>
      <c r="M1614" t="str">
        <f t="shared" si="6"/>
        <v>289</v>
      </c>
      <c r="N1614" t="s">
        <v>187</v>
      </c>
      <c r="O1614" t="s">
        <v>2804</v>
      </c>
      <c r="P1614" t="s">
        <v>2805</v>
      </c>
    </row>
    <row r="1615" ht="15.75" customHeight="1">
      <c r="A1615">
        <v>1625.0</v>
      </c>
      <c r="B1615">
        <v>30.0</v>
      </c>
      <c r="C1615">
        <v>110.0</v>
      </c>
      <c r="D1615">
        <v>3.0</v>
      </c>
      <c r="E1615" t="str">
        <f t="shared" si="8"/>
        <v>4.3</v>
      </c>
      <c r="F1615">
        <v>6.0</v>
      </c>
      <c r="G1615">
        <v>3.0</v>
      </c>
      <c r="H1615" t="str">
        <f t="shared" si="2"/>
        <v>18</v>
      </c>
      <c r="I1615">
        <v>108.0</v>
      </c>
      <c r="J1615" t="str">
        <f t="shared" si="3"/>
        <v>342.9</v>
      </c>
      <c r="K1615" t="str">
        <f t="shared" si="4"/>
        <v>737.235</v>
      </c>
      <c r="L1615" t="str">
        <f t="shared" si="5"/>
        <v>4.09575</v>
      </c>
      <c r="M1615" t="str">
        <f t="shared" si="6"/>
        <v>215</v>
      </c>
      <c r="N1615" t="s">
        <v>187</v>
      </c>
      <c r="O1615" t="s">
        <v>2806</v>
      </c>
      <c r="P1615" t="s">
        <v>823</v>
      </c>
    </row>
    <row r="1616" ht="15.75" customHeight="1">
      <c r="A1616">
        <v>1626.0</v>
      </c>
      <c r="B1616">
        <v>22.0</v>
      </c>
      <c r="C1616">
        <v>68.0</v>
      </c>
      <c r="D1616">
        <v>3.0</v>
      </c>
      <c r="E1616" t="str">
        <f t="shared" si="8"/>
        <v>3.4375</v>
      </c>
      <c r="F1616">
        <v>10.0</v>
      </c>
      <c r="G1616">
        <v>4.0</v>
      </c>
      <c r="H1616" t="str">
        <f t="shared" si="2"/>
        <v>40</v>
      </c>
      <c r="I1616">
        <v>90.0</v>
      </c>
      <c r="J1616" t="str">
        <f t="shared" si="3"/>
        <v>285.75</v>
      </c>
      <c r="K1616" t="str">
        <f t="shared" si="4"/>
        <v>762.9525</v>
      </c>
      <c r="L1616" t="str">
        <f t="shared" si="5"/>
        <v>1.90738125</v>
      </c>
      <c r="M1616" t="str">
        <f t="shared" si="6"/>
        <v>267</v>
      </c>
      <c r="N1616" t="s">
        <v>187</v>
      </c>
      <c r="O1616" t="s">
        <v>2807</v>
      </c>
      <c r="P1616" t="s">
        <v>823</v>
      </c>
    </row>
    <row r="1617" ht="15.75" customHeight="1">
      <c r="A1617">
        <v>1627.0</v>
      </c>
      <c r="B1617">
        <v>26.0</v>
      </c>
      <c r="C1617">
        <v>36.0</v>
      </c>
      <c r="D1617">
        <v>3.0</v>
      </c>
      <c r="E1617" t="str">
        <f t="shared" si="8"/>
        <v>3.007142857</v>
      </c>
      <c r="F1617">
        <v>8.0</v>
      </c>
      <c r="G1617">
        <v>7.0</v>
      </c>
      <c r="H1617" t="str">
        <f t="shared" si="2"/>
        <v>56</v>
      </c>
      <c r="I1617">
        <v>86.0</v>
      </c>
      <c r="J1617" t="str">
        <f t="shared" si="3"/>
        <v>273.05</v>
      </c>
      <c r="K1617" t="str">
        <f t="shared" si="4"/>
        <v>679.8945</v>
      </c>
      <c r="L1617" t="str">
        <f t="shared" si="5"/>
        <v>1.214097321</v>
      </c>
      <c r="M1617" t="str">
        <f t="shared" si="6"/>
        <v>249</v>
      </c>
      <c r="N1617" t="s">
        <v>187</v>
      </c>
      <c r="O1617" t="s">
        <v>2808</v>
      </c>
      <c r="P1617" t="s">
        <v>2629</v>
      </c>
    </row>
    <row r="1618" ht="15.75" customHeight="1">
      <c r="A1618">
        <v>1628.0</v>
      </c>
      <c r="B1618">
        <v>28.0</v>
      </c>
      <c r="C1618">
        <v>28.0</v>
      </c>
      <c r="D1618">
        <v>3.0</v>
      </c>
      <c r="E1618" t="str">
        <f t="shared" si="8"/>
        <v>3.044444444</v>
      </c>
      <c r="F1618">
        <v>10.0</v>
      </c>
      <c r="G1618">
        <v>9.0</v>
      </c>
      <c r="H1618" t="str">
        <f t="shared" si="2"/>
        <v>90</v>
      </c>
      <c r="I1618">
        <v>88.0</v>
      </c>
      <c r="J1618" t="str">
        <f t="shared" si="3"/>
        <v>279.4</v>
      </c>
      <c r="K1618" t="str">
        <f t="shared" si="4"/>
        <v>913.638</v>
      </c>
      <c r="L1618" t="str">
        <f t="shared" si="5"/>
        <v>1.015153333</v>
      </c>
      <c r="M1618" t="str">
        <f t="shared" si="6"/>
        <v>327</v>
      </c>
      <c r="N1618" t="s">
        <v>187</v>
      </c>
      <c r="O1618" t="s">
        <v>2809</v>
      </c>
      <c r="P1618" t="s">
        <v>2629</v>
      </c>
    </row>
    <row r="1619" ht="15.75" customHeight="1">
      <c r="A1619">
        <v>1629.0</v>
      </c>
      <c r="B1619">
        <v>142.21</v>
      </c>
      <c r="C1619">
        <v>73.83</v>
      </c>
      <c r="D1619">
        <v>3.0</v>
      </c>
      <c r="E1619" t="str">
        <f t="shared" si="8"/>
        <v>3.9575</v>
      </c>
      <c r="F1619">
        <v>2.0</v>
      </c>
      <c r="G1619">
        <v>4.0</v>
      </c>
      <c r="H1619" t="str">
        <f t="shared" si="2"/>
        <v>8</v>
      </c>
      <c r="I1619">
        <v>98.0</v>
      </c>
      <c r="J1619" t="str">
        <f t="shared" si="3"/>
        <v>311.15</v>
      </c>
      <c r="K1619" t="str">
        <f t="shared" si="4"/>
        <v>956.53733</v>
      </c>
      <c r="L1619" t="str">
        <f t="shared" si="5"/>
        <v>11.95671663</v>
      </c>
      <c r="M1619" t="str">
        <f t="shared" si="6"/>
        <v>307.42</v>
      </c>
      <c r="N1619" t="s">
        <v>187</v>
      </c>
      <c r="O1619" t="s">
        <v>2810</v>
      </c>
      <c r="P1619" s="126" t="s">
        <v>2811</v>
      </c>
    </row>
    <row r="1620" ht="15.75" customHeight="1">
      <c r="A1620">
        <v>1630.0</v>
      </c>
      <c r="B1620">
        <v>50.0</v>
      </c>
      <c r="C1620">
        <v>70.0</v>
      </c>
      <c r="D1620">
        <v>3.0</v>
      </c>
      <c r="E1620" t="str">
        <f t="shared" si="8"/>
        <v>6.2</v>
      </c>
      <c r="F1620">
        <v>5.0</v>
      </c>
      <c r="G1620">
        <v>4.0</v>
      </c>
      <c r="H1620" t="str">
        <f t="shared" si="2"/>
        <v>20</v>
      </c>
      <c r="I1620">
        <v>96.0</v>
      </c>
      <c r="J1620" t="str">
        <f t="shared" si="3"/>
        <v>304.8</v>
      </c>
      <c r="K1620" t="str">
        <f t="shared" si="4"/>
        <v>859.536</v>
      </c>
      <c r="L1620" t="str">
        <f t="shared" si="5"/>
        <v>4.29768</v>
      </c>
      <c r="M1620" t="str">
        <f t="shared" si="6"/>
        <v>282</v>
      </c>
      <c r="N1620" t="s">
        <v>187</v>
      </c>
      <c r="O1620" t="s">
        <v>2812</v>
      </c>
      <c r="P1620" t="s">
        <v>823</v>
      </c>
    </row>
    <row r="1621" ht="15.75" customHeight="1">
      <c r="A1621">
        <v>1631.0</v>
      </c>
      <c r="B1621">
        <v>124.5</v>
      </c>
      <c r="C1621">
        <v>75.0</v>
      </c>
      <c r="D1621">
        <v>3.0</v>
      </c>
      <c r="E1621" t="str">
        <f t="shared" si="8"/>
        <v>5.9625</v>
      </c>
      <c r="F1621">
        <v>2.0</v>
      </c>
      <c r="G1621">
        <v>4.0</v>
      </c>
      <c r="H1621" t="str">
        <f t="shared" si="2"/>
        <v>8</v>
      </c>
      <c r="I1621">
        <v>102.0</v>
      </c>
      <c r="J1621" t="str">
        <f t="shared" si="3"/>
        <v>323.85</v>
      </c>
      <c r="K1621" t="str">
        <f t="shared" si="4"/>
        <v>880.872</v>
      </c>
      <c r="L1621" t="str">
        <f t="shared" si="5"/>
        <v>11.0109</v>
      </c>
      <c r="M1621" t="str">
        <f t="shared" si="6"/>
        <v>272</v>
      </c>
      <c r="N1621" t="s">
        <v>187</v>
      </c>
      <c r="O1621" t="s">
        <v>2813</v>
      </c>
      <c r="P1621" s="126" t="s">
        <v>2811</v>
      </c>
    </row>
    <row r="1622" ht="15.75" customHeight="1">
      <c r="A1622">
        <v>1632.0</v>
      </c>
      <c r="B1622">
        <v>124.5</v>
      </c>
      <c r="C1622">
        <v>47.4</v>
      </c>
      <c r="D1622">
        <v>3.0</v>
      </c>
      <c r="E1622" t="str">
        <f t="shared" si="8"/>
        <v>3.4</v>
      </c>
      <c r="F1622">
        <v>2.0</v>
      </c>
      <c r="G1622">
        <v>6.0</v>
      </c>
      <c r="H1622" t="str">
        <f t="shared" si="2"/>
        <v>12</v>
      </c>
      <c r="I1622">
        <v>96.0</v>
      </c>
      <c r="J1622" t="str">
        <f t="shared" si="3"/>
        <v>304.8</v>
      </c>
      <c r="K1622" t="str">
        <f t="shared" si="4"/>
        <v>829.056</v>
      </c>
      <c r="L1622" t="str">
        <f t="shared" si="5"/>
        <v>6.9088</v>
      </c>
      <c r="M1622" t="str">
        <f t="shared" si="6"/>
        <v>272</v>
      </c>
      <c r="N1622" t="s">
        <v>187</v>
      </c>
      <c r="O1622" t="s">
        <v>2814</v>
      </c>
      <c r="P1622" t="s">
        <v>2815</v>
      </c>
    </row>
    <row r="1623" ht="15.75" customHeight="1">
      <c r="A1623">
        <v>1633.0</v>
      </c>
      <c r="B1623">
        <v>32.8</v>
      </c>
      <c r="C1623">
        <v>60.0</v>
      </c>
      <c r="D1623">
        <v>3.0</v>
      </c>
      <c r="E1623" t="str">
        <f t="shared" si="8"/>
        <v>4.77</v>
      </c>
      <c r="F1623">
        <v>9.0</v>
      </c>
      <c r="G1623">
        <v>5.0</v>
      </c>
      <c r="H1623" t="str">
        <f t="shared" si="2"/>
        <v>45</v>
      </c>
      <c r="I1623">
        <v>102.0</v>
      </c>
      <c r="J1623" t="str">
        <f t="shared" si="3"/>
        <v>323.85</v>
      </c>
      <c r="K1623" t="str">
        <f t="shared" si="4"/>
        <v>1098.4992</v>
      </c>
      <c r="L1623" t="str">
        <f t="shared" si="5"/>
        <v>2.441109333</v>
      </c>
      <c r="M1623" t="str">
        <f t="shared" si="6"/>
        <v>339.2</v>
      </c>
      <c r="N1623" t="s">
        <v>187</v>
      </c>
      <c r="O1623" t="s">
        <v>2816</v>
      </c>
      <c r="P1623" t="s">
        <v>2817</v>
      </c>
    </row>
    <row r="1624" ht="15.75" customHeight="1">
      <c r="A1624">
        <v>1634.0</v>
      </c>
      <c r="B1624">
        <v>35.0</v>
      </c>
      <c r="C1624">
        <v>145.0</v>
      </c>
      <c r="D1624">
        <v>3.0</v>
      </c>
      <c r="E1624" t="str">
        <f t="shared" si="8"/>
        <v>7.4</v>
      </c>
      <c r="F1624">
        <v>6.0</v>
      </c>
      <c r="G1624">
        <v>2.0</v>
      </c>
      <c r="H1624" t="str">
        <f t="shared" si="2"/>
        <v>12</v>
      </c>
      <c r="I1624">
        <v>96.0</v>
      </c>
      <c r="J1624" t="str">
        <f t="shared" si="3"/>
        <v>304.8</v>
      </c>
      <c r="K1624" t="str">
        <f t="shared" si="4"/>
        <v>746.76</v>
      </c>
      <c r="L1624" t="str">
        <f t="shared" si="5"/>
        <v>6.223</v>
      </c>
      <c r="M1624" t="str">
        <f t="shared" si="6"/>
        <v>245</v>
      </c>
      <c r="N1624" t="s">
        <v>187</v>
      </c>
      <c r="O1624" t="s">
        <v>2818</v>
      </c>
      <c r="P1624" t="s">
        <v>2629</v>
      </c>
    </row>
    <row r="1625" ht="15.75" customHeight="1">
      <c r="A1625">
        <v>1635.0</v>
      </c>
      <c r="B1625">
        <v>115.0</v>
      </c>
      <c r="C1625">
        <v>127.0</v>
      </c>
      <c r="D1625">
        <v>3.0</v>
      </c>
      <c r="E1625" t="str">
        <f t="shared" si="8"/>
        <v>6.35</v>
      </c>
      <c r="F1625">
        <v>2.0</v>
      </c>
      <c r="G1625">
        <v>3.0</v>
      </c>
      <c r="H1625" t="str">
        <f t="shared" si="2"/>
        <v>6</v>
      </c>
      <c r="I1625">
        <v>126.0</v>
      </c>
      <c r="J1625" t="str">
        <f t="shared" si="3"/>
        <v>400.05</v>
      </c>
      <c r="K1625" t="str">
        <f t="shared" si="4"/>
        <v>1012.1265</v>
      </c>
      <c r="L1625" t="str">
        <f t="shared" si="5"/>
        <v>16.868775</v>
      </c>
      <c r="M1625" t="str">
        <f t="shared" si="6"/>
        <v>253</v>
      </c>
      <c r="N1625" t="s">
        <v>187</v>
      </c>
      <c r="O1625" t="s">
        <v>2819</v>
      </c>
      <c r="P1625" t="s">
        <v>2629</v>
      </c>
    </row>
    <row r="1626" ht="15.75" customHeight="1">
      <c r="A1626">
        <v>1636.0</v>
      </c>
      <c r="B1626">
        <v>180.0</v>
      </c>
      <c r="C1626">
        <v>150.0</v>
      </c>
      <c r="D1626">
        <v>3.0</v>
      </c>
      <c r="E1626" t="str">
        <f t="shared" si="8"/>
        <v>5.575</v>
      </c>
      <c r="F1626">
        <v>2.0</v>
      </c>
      <c r="G1626">
        <v>2.0</v>
      </c>
      <c r="H1626" t="str">
        <f t="shared" si="2"/>
        <v>4</v>
      </c>
      <c r="I1626">
        <v>98.0</v>
      </c>
      <c r="J1626" t="str">
        <f t="shared" si="3"/>
        <v>311.15</v>
      </c>
      <c r="K1626" t="str">
        <f t="shared" si="4"/>
        <v>1191.7045</v>
      </c>
      <c r="L1626" t="str">
        <f t="shared" si="5"/>
        <v>29.7926125</v>
      </c>
      <c r="M1626" t="str">
        <f t="shared" si="6"/>
        <v>383</v>
      </c>
      <c r="N1626" t="s">
        <v>187</v>
      </c>
      <c r="O1626" t="s">
        <v>2820</v>
      </c>
      <c r="P1626" s="126" t="s">
        <v>2821</v>
      </c>
    </row>
    <row r="1627" ht="15.75" customHeight="1">
      <c r="A1627">
        <v>1637.0</v>
      </c>
      <c r="B1627">
        <v>50.0</v>
      </c>
      <c r="C1627">
        <v>105.0</v>
      </c>
      <c r="D1627">
        <v>3.0</v>
      </c>
      <c r="E1627" t="str">
        <f t="shared" si="8"/>
        <v>2.95</v>
      </c>
      <c r="F1627">
        <v>4.0</v>
      </c>
      <c r="G1627">
        <v>3.0</v>
      </c>
      <c r="H1627" t="str">
        <f t="shared" si="2"/>
        <v>12</v>
      </c>
      <c r="I1627">
        <v>102.0</v>
      </c>
      <c r="J1627" t="str">
        <f t="shared" si="3"/>
        <v>323.85</v>
      </c>
      <c r="K1627" t="str">
        <f t="shared" si="4"/>
        <v>741.6165</v>
      </c>
      <c r="L1627" t="str">
        <f t="shared" si="5"/>
        <v>6.1801375</v>
      </c>
      <c r="M1627" t="str">
        <f t="shared" si="6"/>
        <v>229</v>
      </c>
      <c r="N1627" t="s">
        <v>187</v>
      </c>
      <c r="O1627" t="s">
        <v>2822</v>
      </c>
      <c r="P1627" s="126" t="s">
        <v>2823</v>
      </c>
    </row>
    <row r="1628" ht="15.75" customHeight="1">
      <c r="A1628">
        <v>1638.0</v>
      </c>
      <c r="B1628">
        <v>92.0</v>
      </c>
      <c r="C1628">
        <v>92.0</v>
      </c>
      <c r="D1628">
        <v>3.0</v>
      </c>
      <c r="E1628" t="str">
        <f t="shared" si="8"/>
        <v>3.25</v>
      </c>
      <c r="F1628">
        <v>2.0</v>
      </c>
      <c r="G1628">
        <v>4.0</v>
      </c>
      <c r="H1628" t="str">
        <f t="shared" si="2"/>
        <v>8</v>
      </c>
      <c r="I1628">
        <v>120.0</v>
      </c>
      <c r="J1628" t="str">
        <f t="shared" si="3"/>
        <v>381</v>
      </c>
      <c r="K1628" t="str">
        <f t="shared" si="4"/>
        <v>788.67</v>
      </c>
      <c r="L1628" t="str">
        <f t="shared" si="5"/>
        <v>9.858375</v>
      </c>
      <c r="M1628" t="str">
        <f t="shared" si="6"/>
        <v>207</v>
      </c>
      <c r="N1628" t="s">
        <v>187</v>
      </c>
      <c r="O1628" t="s">
        <v>2824</v>
      </c>
      <c r="P1628" s="126" t="s">
        <v>2823</v>
      </c>
    </row>
    <row r="1629" ht="15.75" customHeight="1">
      <c r="A1629">
        <v>1639.0</v>
      </c>
      <c r="B1629">
        <v>150.0</v>
      </c>
      <c r="C1629">
        <v>102.0</v>
      </c>
      <c r="D1629">
        <v>3.0</v>
      </c>
      <c r="E1629" t="str">
        <f t="shared" si="8"/>
        <v>5.95</v>
      </c>
      <c r="F1629">
        <v>2.0</v>
      </c>
      <c r="G1629">
        <v>3.0</v>
      </c>
      <c r="H1629" t="str">
        <f t="shared" si="2"/>
        <v>6</v>
      </c>
      <c r="I1629">
        <v>102.0</v>
      </c>
      <c r="J1629" t="str">
        <f t="shared" si="3"/>
        <v>323.85</v>
      </c>
      <c r="K1629" t="str">
        <f t="shared" si="4"/>
        <v>1046.0355</v>
      </c>
      <c r="L1629" t="str">
        <f t="shared" si="5"/>
        <v>17.433925</v>
      </c>
      <c r="M1629" t="str">
        <f t="shared" si="6"/>
        <v>323</v>
      </c>
      <c r="N1629" t="s">
        <v>187</v>
      </c>
      <c r="O1629" t="s">
        <v>2825</v>
      </c>
      <c r="P1629" s="126" t="s">
        <v>2826</v>
      </c>
    </row>
    <row r="1630" ht="15.75" customHeight="1">
      <c r="A1630">
        <v>1640.0</v>
      </c>
      <c r="B1630">
        <v>51.0</v>
      </c>
      <c r="C1630">
        <v>44.0</v>
      </c>
      <c r="D1630">
        <v>3.0</v>
      </c>
      <c r="E1630" t="str">
        <f t="shared" si="8"/>
        <v>3.625</v>
      </c>
      <c r="F1630">
        <v>5.0</v>
      </c>
      <c r="G1630">
        <v>6.0</v>
      </c>
      <c r="H1630" t="str">
        <f t="shared" si="2"/>
        <v>30</v>
      </c>
      <c r="I1630">
        <v>90.0</v>
      </c>
      <c r="J1630" t="str">
        <f t="shared" si="3"/>
        <v>285.75</v>
      </c>
      <c r="K1630" t="str">
        <f t="shared" si="4"/>
        <v>820.1025</v>
      </c>
      <c r="L1630" t="str">
        <f t="shared" si="5"/>
        <v>2.733675</v>
      </c>
      <c r="M1630" t="str">
        <f t="shared" si="6"/>
        <v>287</v>
      </c>
      <c r="N1630" t="s">
        <v>187</v>
      </c>
      <c r="O1630" t="s">
        <v>2827</v>
      </c>
      <c r="P1630" t="s">
        <v>2629</v>
      </c>
    </row>
    <row r="1631" ht="15.75" customHeight="1">
      <c r="A1631">
        <v>1641.0</v>
      </c>
      <c r="B1631">
        <v>51.0</v>
      </c>
      <c r="C1631">
        <v>93.5</v>
      </c>
      <c r="D1631">
        <v>3.0</v>
      </c>
      <c r="E1631" t="str">
        <f t="shared" si="8"/>
        <v>8.1</v>
      </c>
      <c r="F1631">
        <v>5.0</v>
      </c>
      <c r="G1631">
        <v>3.0</v>
      </c>
      <c r="H1631" t="str">
        <f t="shared" si="2"/>
        <v>15</v>
      </c>
      <c r="I1631">
        <v>96.0</v>
      </c>
      <c r="J1631" t="str">
        <f t="shared" si="3"/>
        <v>304.8</v>
      </c>
      <c r="K1631" t="str">
        <f t="shared" si="4"/>
        <v>874.776</v>
      </c>
      <c r="L1631" t="str">
        <f t="shared" si="5"/>
        <v>5.83184</v>
      </c>
      <c r="M1631" t="str">
        <f t="shared" si="6"/>
        <v>287</v>
      </c>
      <c r="N1631" t="s">
        <v>187</v>
      </c>
      <c r="O1631" t="s">
        <v>2828</v>
      </c>
      <c r="P1631" t="s">
        <v>2629</v>
      </c>
    </row>
    <row r="1632" ht="15.75" customHeight="1">
      <c r="A1632">
        <v>1642.0</v>
      </c>
      <c r="B1632">
        <v>80.0</v>
      </c>
      <c r="C1632">
        <v>68.0</v>
      </c>
      <c r="D1632">
        <v>3.0</v>
      </c>
      <c r="E1632" t="str">
        <f t="shared" si="8"/>
        <v>3.4375</v>
      </c>
      <c r="F1632">
        <v>4.0</v>
      </c>
      <c r="G1632">
        <v>4.0</v>
      </c>
      <c r="H1632" t="str">
        <f t="shared" si="2"/>
        <v>16</v>
      </c>
      <c r="I1632">
        <v>90.0</v>
      </c>
      <c r="J1632" t="str">
        <f t="shared" si="3"/>
        <v>285.75</v>
      </c>
      <c r="K1632" t="str">
        <f t="shared" si="4"/>
        <v>997.2675</v>
      </c>
      <c r="L1632" t="str">
        <f t="shared" si="5"/>
        <v>6.232921875</v>
      </c>
      <c r="M1632" t="str">
        <f t="shared" si="6"/>
        <v>349</v>
      </c>
      <c r="N1632" t="s">
        <v>187</v>
      </c>
      <c r="O1632" t="s">
        <v>2829</v>
      </c>
      <c r="P1632" t="s">
        <v>2629</v>
      </c>
    </row>
    <row r="1633" ht="15.75" customHeight="1">
      <c r="A1633">
        <v>1643.0</v>
      </c>
      <c r="B1633">
        <v>80.0</v>
      </c>
      <c r="C1633">
        <v>52.0</v>
      </c>
      <c r="D1633">
        <v>3.0</v>
      </c>
      <c r="E1633" t="str">
        <f t="shared" si="8"/>
        <v>3.88</v>
      </c>
      <c r="F1633">
        <v>4.0</v>
      </c>
      <c r="G1633">
        <v>5.0</v>
      </c>
      <c r="H1633" t="str">
        <f t="shared" si="2"/>
        <v>20</v>
      </c>
      <c r="I1633">
        <v>88.0</v>
      </c>
      <c r="J1633" t="str">
        <f t="shared" si="3"/>
        <v>279.4</v>
      </c>
      <c r="K1633" t="str">
        <f t="shared" si="4"/>
        <v>975.106</v>
      </c>
      <c r="L1633" t="str">
        <f t="shared" si="5"/>
        <v>4.87553</v>
      </c>
      <c r="M1633" t="str">
        <f t="shared" si="6"/>
        <v>349</v>
      </c>
      <c r="N1633" t="s">
        <v>187</v>
      </c>
      <c r="O1633" t="s">
        <v>2830</v>
      </c>
      <c r="P1633" t="s">
        <v>2629</v>
      </c>
    </row>
    <row r="1634" ht="15.75" customHeight="1">
      <c r="A1634">
        <v>1644.0</v>
      </c>
      <c r="B1634">
        <v>80.0</v>
      </c>
      <c r="C1634">
        <v>106.0</v>
      </c>
      <c r="D1634">
        <v>3.0</v>
      </c>
      <c r="E1634" t="str">
        <f t="shared" si="8"/>
        <v>5.125</v>
      </c>
      <c r="F1634">
        <v>3.0</v>
      </c>
      <c r="G1634">
        <v>3.0</v>
      </c>
      <c r="H1634" t="str">
        <f t="shared" si="2"/>
        <v>9</v>
      </c>
      <c r="I1634">
        <v>105.0</v>
      </c>
      <c r="J1634" t="str">
        <f t="shared" si="3"/>
        <v>333.375</v>
      </c>
      <c r="K1634" t="str">
        <f t="shared" si="4"/>
        <v>886.7775</v>
      </c>
      <c r="L1634" t="str">
        <f t="shared" si="5"/>
        <v>9.853083333</v>
      </c>
      <c r="M1634" t="str">
        <f t="shared" si="6"/>
        <v>266</v>
      </c>
      <c r="N1634" t="s">
        <v>187</v>
      </c>
      <c r="O1634" t="s">
        <v>2831</v>
      </c>
      <c r="P1634" t="s">
        <v>2629</v>
      </c>
    </row>
    <row r="1635" ht="15.75" customHeight="1">
      <c r="A1635">
        <v>1645.0</v>
      </c>
      <c r="B1635">
        <v>55.0</v>
      </c>
      <c r="C1635">
        <v>100.0</v>
      </c>
      <c r="D1635">
        <v>3.0</v>
      </c>
      <c r="E1635" t="str">
        <f t="shared" si="8"/>
        <v>3.716666667</v>
      </c>
      <c r="F1635">
        <v>5.0</v>
      </c>
      <c r="G1635">
        <v>3.0</v>
      </c>
      <c r="H1635" t="str">
        <f t="shared" si="2"/>
        <v>15</v>
      </c>
      <c r="I1635">
        <v>98.0</v>
      </c>
      <c r="J1635" t="str">
        <f t="shared" si="3"/>
        <v>311.15</v>
      </c>
      <c r="K1635" t="str">
        <f t="shared" si="4"/>
        <v>955.2305</v>
      </c>
      <c r="L1635" t="str">
        <f t="shared" si="5"/>
        <v>6.368203333</v>
      </c>
      <c r="M1635" t="str">
        <f t="shared" si="6"/>
        <v>307</v>
      </c>
      <c r="N1635" t="s">
        <v>187</v>
      </c>
      <c r="O1635" t="s">
        <v>2832</v>
      </c>
      <c r="P1635" t="s">
        <v>823</v>
      </c>
    </row>
    <row r="1636" ht="15.75" customHeight="1">
      <c r="A1636">
        <v>1646.0</v>
      </c>
      <c r="B1636">
        <v>43.0</v>
      </c>
      <c r="C1636">
        <v>70.0</v>
      </c>
      <c r="D1636">
        <v>3.0</v>
      </c>
      <c r="E1636" t="str">
        <f t="shared" si="8"/>
        <v>6.2</v>
      </c>
      <c r="F1636">
        <v>3.0</v>
      </c>
      <c r="G1636">
        <v>4.0</v>
      </c>
      <c r="H1636" t="str">
        <f t="shared" si="2"/>
        <v>12</v>
      </c>
      <c r="I1636">
        <v>96.0</v>
      </c>
      <c r="J1636" t="str">
        <f t="shared" si="3"/>
        <v>304.8</v>
      </c>
      <c r="K1636" t="str">
        <f t="shared" si="4"/>
        <v>472.44</v>
      </c>
      <c r="L1636" t="str">
        <f t="shared" si="5"/>
        <v>3.937</v>
      </c>
      <c r="M1636" t="str">
        <f t="shared" si="6"/>
        <v>155</v>
      </c>
      <c r="N1636" t="s">
        <v>187</v>
      </c>
      <c r="O1636" t="s">
        <v>2833</v>
      </c>
      <c r="P1636" t="s">
        <v>2629</v>
      </c>
    </row>
    <row r="1637" ht="15.75" customHeight="1">
      <c r="A1637">
        <v>1647.0</v>
      </c>
      <c r="B1637">
        <v>20.0</v>
      </c>
      <c r="C1637">
        <v>60.0</v>
      </c>
      <c r="D1637">
        <v>3.0</v>
      </c>
      <c r="E1637" t="str">
        <f t="shared" si="8"/>
        <v>3.5</v>
      </c>
      <c r="F1637">
        <v>14.0</v>
      </c>
      <c r="G1637">
        <v>6.0</v>
      </c>
      <c r="H1637" t="str">
        <f t="shared" si="2"/>
        <v>84</v>
      </c>
      <c r="I1637">
        <v>120.0</v>
      </c>
      <c r="J1637" t="str">
        <f t="shared" si="3"/>
        <v>381</v>
      </c>
      <c r="K1637" t="str">
        <f t="shared" si="4"/>
        <v>1291.59</v>
      </c>
      <c r="L1637" t="str">
        <f t="shared" si="5"/>
        <v>1.537607143</v>
      </c>
      <c r="M1637" t="str">
        <f t="shared" si="6"/>
        <v>339</v>
      </c>
      <c r="N1637" t="s">
        <v>187</v>
      </c>
      <c r="O1637" t="s">
        <v>2834</v>
      </c>
      <c r="P1637" t="s">
        <v>823</v>
      </c>
    </row>
    <row r="1638" ht="15.75" customHeight="1">
      <c r="A1638">
        <v>1648.0</v>
      </c>
      <c r="B1638">
        <v>130.0</v>
      </c>
      <c r="C1638">
        <v>270.0</v>
      </c>
      <c r="D1638">
        <v>3.0</v>
      </c>
      <c r="E1638" t="str">
        <f t="shared" si="8"/>
        <v>3.05</v>
      </c>
      <c r="F1638">
        <v>2.0</v>
      </c>
      <c r="G1638">
        <v>1.0</v>
      </c>
      <c r="H1638" t="str">
        <f t="shared" si="2"/>
        <v>2</v>
      </c>
      <c r="I1638">
        <v>86.0</v>
      </c>
      <c r="J1638" t="str">
        <f t="shared" si="3"/>
        <v>273.05</v>
      </c>
      <c r="K1638" t="str">
        <f t="shared" si="4"/>
        <v>772.7315</v>
      </c>
      <c r="L1638" t="str">
        <f t="shared" si="5"/>
        <v>38.636575</v>
      </c>
      <c r="M1638" t="str">
        <f t="shared" si="6"/>
        <v>283</v>
      </c>
      <c r="N1638" t="s">
        <v>187</v>
      </c>
      <c r="O1638" t="s">
        <v>2835</v>
      </c>
      <c r="P1638" t="s">
        <v>823</v>
      </c>
    </row>
    <row r="1639" ht="15.75" customHeight="1">
      <c r="A1639">
        <v>1649.0</v>
      </c>
      <c r="B1639">
        <v>30.0</v>
      </c>
      <c r="C1639">
        <v>30.0</v>
      </c>
      <c r="D1639">
        <v>3.0</v>
      </c>
      <c r="E1639" t="str">
        <f t="shared" si="8"/>
        <v>3.866666667</v>
      </c>
      <c r="F1639">
        <v>7.0</v>
      </c>
      <c r="G1639">
        <v>9.0</v>
      </c>
      <c r="H1639" t="str">
        <f t="shared" si="2"/>
        <v>63</v>
      </c>
      <c r="I1639">
        <v>96.0</v>
      </c>
      <c r="J1639" t="str">
        <f t="shared" si="3"/>
        <v>304.8</v>
      </c>
      <c r="K1639" t="str">
        <f t="shared" si="4"/>
        <v>755.904</v>
      </c>
      <c r="L1639" t="str">
        <f t="shared" si="5"/>
        <v>1.199847619</v>
      </c>
      <c r="M1639" t="str">
        <f t="shared" si="6"/>
        <v>248</v>
      </c>
      <c r="N1639" t="s">
        <v>187</v>
      </c>
      <c r="O1639" t="s">
        <v>2836</v>
      </c>
      <c r="P1639" s="126" t="s">
        <v>2837</v>
      </c>
    </row>
    <row r="1640" ht="15.75" customHeight="1">
      <c r="A1640">
        <v>1650.0</v>
      </c>
      <c r="B1640">
        <v>132.0</v>
      </c>
      <c r="C1640">
        <v>147.0</v>
      </c>
      <c r="D1640">
        <v>3.0</v>
      </c>
      <c r="E1640" t="str">
        <f t="shared" si="8"/>
        <v>5.4</v>
      </c>
      <c r="F1640">
        <v>2.0</v>
      </c>
      <c r="G1640">
        <v>2.0</v>
      </c>
      <c r="H1640" t="str">
        <f t="shared" si="2"/>
        <v>4</v>
      </c>
      <c r="I1640">
        <v>96.0</v>
      </c>
      <c r="J1640" t="str">
        <f t="shared" si="3"/>
        <v>304.8</v>
      </c>
      <c r="K1640" t="str">
        <f t="shared" si="4"/>
        <v>874.776</v>
      </c>
      <c r="L1640" t="str">
        <f t="shared" si="5"/>
        <v>21.8694</v>
      </c>
      <c r="M1640" t="str">
        <f t="shared" si="6"/>
        <v>287</v>
      </c>
      <c r="N1640" t="s">
        <v>187</v>
      </c>
      <c r="O1640" t="s">
        <v>2838</v>
      </c>
      <c r="P1640" s="126" t="s">
        <v>2839</v>
      </c>
    </row>
    <row r="1641" ht="15.75" customHeight="1">
      <c r="A1641">
        <v>1651.0</v>
      </c>
      <c r="B1641">
        <v>37.0</v>
      </c>
      <c r="C1641">
        <v>120.0</v>
      </c>
      <c r="D1641">
        <v>3.0</v>
      </c>
      <c r="E1641" t="str">
        <f t="shared" si="8"/>
        <v>7</v>
      </c>
      <c r="F1641">
        <v>8.0</v>
      </c>
      <c r="G1641">
        <v>3.0</v>
      </c>
      <c r="H1641" t="str">
        <f t="shared" si="2"/>
        <v>24</v>
      </c>
      <c r="I1641">
        <v>120.0</v>
      </c>
      <c r="J1641" t="str">
        <f t="shared" si="3"/>
        <v>381</v>
      </c>
      <c r="K1641" t="str">
        <f t="shared" si="4"/>
        <v>1283.97</v>
      </c>
      <c r="L1641" t="str">
        <f t="shared" si="5"/>
        <v>5.349875</v>
      </c>
      <c r="M1641" t="str">
        <f t="shared" si="6"/>
        <v>337</v>
      </c>
      <c r="N1641" t="s">
        <v>187</v>
      </c>
      <c r="O1641" t="s">
        <v>2840</v>
      </c>
      <c r="P1641" t="s">
        <v>823</v>
      </c>
    </row>
    <row r="1642" ht="15.75" customHeight="1">
      <c r="A1642">
        <v>1652.0</v>
      </c>
      <c r="B1642">
        <v>54.7</v>
      </c>
      <c r="C1642">
        <v>100.0</v>
      </c>
      <c r="D1642">
        <v>3.0</v>
      </c>
      <c r="E1642" t="str">
        <f t="shared" si="8"/>
        <v>3.716666667</v>
      </c>
      <c r="F1642">
        <v>5.0</v>
      </c>
      <c r="G1642">
        <v>3.0</v>
      </c>
      <c r="H1642" t="str">
        <f t="shared" si="2"/>
        <v>15</v>
      </c>
      <c r="I1642">
        <v>98.0</v>
      </c>
      <c r="J1642" t="str">
        <f t="shared" si="3"/>
        <v>311.15</v>
      </c>
      <c r="K1642" t="str">
        <f t="shared" si="4"/>
        <v>950.56325</v>
      </c>
      <c r="L1642" t="str">
        <f t="shared" si="5"/>
        <v>6.337088333</v>
      </c>
      <c r="M1642" t="str">
        <f t="shared" si="6"/>
        <v>305.5</v>
      </c>
      <c r="N1642" t="s">
        <v>187</v>
      </c>
      <c r="O1642" t="s">
        <v>2841</v>
      </c>
      <c r="P1642" s="126" t="s">
        <v>2842</v>
      </c>
    </row>
    <row r="1643" ht="15.75" customHeight="1">
      <c r="A1643">
        <v>1653.0</v>
      </c>
      <c r="B1643">
        <v>62.0</v>
      </c>
      <c r="C1643">
        <v>126.0</v>
      </c>
      <c r="D1643">
        <v>3.0</v>
      </c>
      <c r="E1643" t="str">
        <f t="shared" si="8"/>
        <v>7.35</v>
      </c>
      <c r="F1643">
        <v>4.0</v>
      </c>
      <c r="G1643">
        <v>3.0</v>
      </c>
      <c r="H1643" t="str">
        <f t="shared" si="2"/>
        <v>12</v>
      </c>
      <c r="I1643">
        <v>126.0</v>
      </c>
      <c r="J1643" t="str">
        <f t="shared" si="3"/>
        <v>400.05</v>
      </c>
      <c r="K1643" t="str">
        <f t="shared" si="4"/>
        <v>1108.1385</v>
      </c>
      <c r="L1643" t="str">
        <f t="shared" si="5"/>
        <v>9.2344875</v>
      </c>
      <c r="M1643" t="str">
        <f t="shared" si="6"/>
        <v>277</v>
      </c>
      <c r="N1643" t="s">
        <v>187</v>
      </c>
      <c r="O1643" t="s">
        <v>2843</v>
      </c>
      <c r="P1643" t="s">
        <v>823</v>
      </c>
    </row>
    <row r="1644" ht="15.75" customHeight="1">
      <c r="A1644">
        <v>1654.0</v>
      </c>
      <c r="B1644">
        <v>43.0</v>
      </c>
      <c r="C1644">
        <v>112.0</v>
      </c>
      <c r="D1644">
        <v>3.0</v>
      </c>
      <c r="E1644" t="str">
        <f t="shared" si="8"/>
        <v>5.475</v>
      </c>
      <c r="F1644">
        <v>8.0</v>
      </c>
      <c r="G1644">
        <v>4.0</v>
      </c>
      <c r="H1644" t="str">
        <f t="shared" si="2"/>
        <v>32</v>
      </c>
      <c r="I1644">
        <v>148.0</v>
      </c>
      <c r="J1644" t="str">
        <f t="shared" si="3"/>
        <v>469.9</v>
      </c>
      <c r="K1644" t="str">
        <f t="shared" si="4"/>
        <v>1809.115</v>
      </c>
      <c r="L1644" t="str">
        <f t="shared" si="5"/>
        <v>5.653484375</v>
      </c>
      <c r="M1644" t="str">
        <f t="shared" si="6"/>
        <v>385</v>
      </c>
      <c r="N1644" t="s">
        <v>187</v>
      </c>
      <c r="O1644" t="s">
        <v>2844</v>
      </c>
      <c r="P1644" t="s">
        <v>823</v>
      </c>
    </row>
    <row r="1645" ht="15.75" customHeight="1">
      <c r="A1645">
        <v>1655.0</v>
      </c>
      <c r="B1645">
        <v>52.0</v>
      </c>
      <c r="C1645">
        <v>85.0</v>
      </c>
      <c r="D1645">
        <v>3.0</v>
      </c>
      <c r="E1645" t="str">
        <f t="shared" si="8"/>
        <v>3.9</v>
      </c>
      <c r="F1645">
        <v>6.0</v>
      </c>
      <c r="G1645">
        <v>3.0</v>
      </c>
      <c r="H1645" t="str">
        <f t="shared" si="2"/>
        <v>18</v>
      </c>
      <c r="I1645">
        <v>84.0</v>
      </c>
      <c r="J1645" t="str">
        <f t="shared" si="3"/>
        <v>266.7</v>
      </c>
      <c r="K1645" t="str">
        <f t="shared" si="4"/>
        <v>925.449</v>
      </c>
      <c r="L1645" t="str">
        <f t="shared" si="5"/>
        <v>5.141383333</v>
      </c>
      <c r="M1645" t="str">
        <f t="shared" si="6"/>
        <v>347</v>
      </c>
      <c r="N1645" t="s">
        <v>187</v>
      </c>
      <c r="O1645" t="s">
        <v>2845</v>
      </c>
      <c r="P1645" s="126" t="s">
        <v>2773</v>
      </c>
    </row>
    <row r="1646" ht="15.75" customHeight="1">
      <c r="A1646">
        <v>1656.0</v>
      </c>
      <c r="B1646">
        <v>90.0</v>
      </c>
      <c r="C1646">
        <v>46.0</v>
      </c>
      <c r="D1646">
        <v>3.0</v>
      </c>
      <c r="E1646" t="str">
        <f t="shared" si="8"/>
        <v>2.985714286</v>
      </c>
      <c r="F1646">
        <v>4.0</v>
      </c>
      <c r="G1646">
        <v>7.0</v>
      </c>
      <c r="H1646" t="str">
        <f t="shared" si="2"/>
        <v>28</v>
      </c>
      <c r="I1646">
        <v>108.0</v>
      </c>
      <c r="J1646" t="str">
        <f t="shared" si="3"/>
        <v>342.9</v>
      </c>
      <c r="K1646" t="str">
        <f t="shared" si="4"/>
        <v>1333.881</v>
      </c>
      <c r="L1646" t="str">
        <f t="shared" si="5"/>
        <v>4.763860714</v>
      </c>
      <c r="M1646" t="str">
        <f t="shared" si="6"/>
        <v>389</v>
      </c>
      <c r="N1646" t="s">
        <v>182</v>
      </c>
      <c r="O1646" t="s">
        <v>2846</v>
      </c>
      <c r="P1646" t="s">
        <v>2847</v>
      </c>
    </row>
    <row r="1647" ht="15.75" customHeight="1">
      <c r="A1647">
        <v>1657.0</v>
      </c>
      <c r="B1647">
        <v>165.0</v>
      </c>
      <c r="C1647">
        <v>205.0</v>
      </c>
      <c r="D1647">
        <v>3.0</v>
      </c>
      <c r="E1647" t="str">
        <f t="shared" si="8"/>
        <v>4.55</v>
      </c>
      <c r="F1647">
        <v>2.0</v>
      </c>
      <c r="G1647">
        <v>2.0</v>
      </c>
      <c r="H1647" t="str">
        <f t="shared" si="2"/>
        <v>4</v>
      </c>
      <c r="I1647">
        <v>132.0</v>
      </c>
      <c r="J1647" t="str">
        <f t="shared" si="3"/>
        <v>419.1</v>
      </c>
      <c r="K1647" t="str">
        <f t="shared" si="4"/>
        <v>1479.423</v>
      </c>
      <c r="L1647" t="str">
        <f t="shared" si="5"/>
        <v>36.985575</v>
      </c>
      <c r="M1647" t="str">
        <f t="shared" si="6"/>
        <v>353</v>
      </c>
      <c r="N1647" t="s">
        <v>187</v>
      </c>
      <c r="O1647" t="s">
        <v>2848</v>
      </c>
      <c r="P1647" t="s">
        <v>823</v>
      </c>
    </row>
    <row r="1648" ht="15.75" customHeight="1">
      <c r="A1648">
        <v>1658.0</v>
      </c>
      <c r="B1648">
        <v>104.0</v>
      </c>
      <c r="C1648">
        <v>39.0</v>
      </c>
      <c r="D1648">
        <v>3.0</v>
      </c>
      <c r="E1648" t="str">
        <f t="shared" si="8"/>
        <v>3.333333333</v>
      </c>
      <c r="F1648">
        <v>2.0</v>
      </c>
      <c r="G1648">
        <v>9.0</v>
      </c>
      <c r="H1648" t="str">
        <f t="shared" si="2"/>
        <v>18</v>
      </c>
      <c r="I1648">
        <v>120.0</v>
      </c>
      <c r="J1648" t="str">
        <f t="shared" si="3"/>
        <v>381</v>
      </c>
      <c r="K1648" t="str">
        <f t="shared" si="4"/>
        <v>880.11</v>
      </c>
      <c r="L1648" t="str">
        <f t="shared" si="5"/>
        <v>4.8895</v>
      </c>
      <c r="M1648" t="str">
        <f t="shared" si="6"/>
        <v>231</v>
      </c>
      <c r="N1648" t="s">
        <v>187</v>
      </c>
      <c r="O1648" t="s">
        <v>2849</v>
      </c>
      <c r="P1648" t="s">
        <v>823</v>
      </c>
    </row>
    <row r="1649" ht="15.75" customHeight="1">
      <c r="A1649">
        <v>1659.0</v>
      </c>
      <c r="B1649">
        <v>25.0</v>
      </c>
      <c r="C1649">
        <v>40.0</v>
      </c>
      <c r="D1649">
        <v>3.0</v>
      </c>
      <c r="E1649" t="str">
        <f t="shared" si="8"/>
        <v>2.8625</v>
      </c>
      <c r="F1649">
        <v>11.0</v>
      </c>
      <c r="G1649">
        <v>8.0</v>
      </c>
      <c r="H1649" t="str">
        <f t="shared" si="2"/>
        <v>88</v>
      </c>
      <c r="I1649">
        <v>108.0</v>
      </c>
      <c r="J1649" t="str">
        <f t="shared" si="3"/>
        <v>342.9</v>
      </c>
      <c r="K1649" t="str">
        <f t="shared" si="4"/>
        <v>1114.425</v>
      </c>
      <c r="L1649" t="str">
        <f t="shared" si="5"/>
        <v>1.266392045</v>
      </c>
      <c r="M1649" t="str">
        <f t="shared" si="6"/>
        <v>325</v>
      </c>
      <c r="N1649" t="s">
        <v>187</v>
      </c>
      <c r="O1649" t="s">
        <v>2850</v>
      </c>
      <c r="P1649" t="s">
        <v>823</v>
      </c>
    </row>
    <row r="1650" ht="15.75" customHeight="1">
      <c r="A1650">
        <v>1660.0</v>
      </c>
      <c r="B1650">
        <v>33.0</v>
      </c>
      <c r="C1650">
        <v>25.0</v>
      </c>
      <c r="D1650">
        <v>3.0</v>
      </c>
      <c r="E1650" t="str">
        <f t="shared" si="8"/>
        <v>2.94</v>
      </c>
      <c r="F1650">
        <v>6.0</v>
      </c>
      <c r="G1650">
        <v>10.0</v>
      </c>
      <c r="H1650" t="str">
        <f t="shared" si="2"/>
        <v>60</v>
      </c>
      <c r="I1650">
        <v>88.0</v>
      </c>
      <c r="J1650" t="str">
        <f t="shared" si="3"/>
        <v>279.4</v>
      </c>
      <c r="K1650" t="str">
        <f t="shared" si="4"/>
        <v>651.002</v>
      </c>
      <c r="L1650" t="str">
        <f t="shared" si="5"/>
        <v>1.085003333</v>
      </c>
      <c r="M1650" t="str">
        <f t="shared" si="6"/>
        <v>233</v>
      </c>
      <c r="N1650" t="s">
        <v>187</v>
      </c>
      <c r="O1650" t="s">
        <v>2851</v>
      </c>
      <c r="P1650" t="s">
        <v>823</v>
      </c>
    </row>
    <row r="1651" ht="15.75" customHeight="1">
      <c r="A1651">
        <v>1663.0</v>
      </c>
      <c r="B1651">
        <v>90.0</v>
      </c>
      <c r="C1651">
        <v>60.0</v>
      </c>
      <c r="D1651">
        <v>3.0</v>
      </c>
      <c r="E1651" t="str">
        <f t="shared" si="8"/>
        <v>3.5</v>
      </c>
      <c r="F1651">
        <v>2.0</v>
      </c>
      <c r="G1651">
        <v>6.0</v>
      </c>
      <c r="H1651" t="str">
        <f t="shared" si="2"/>
        <v>12</v>
      </c>
      <c r="I1651">
        <v>120.0</v>
      </c>
      <c r="J1651" t="str">
        <f t="shared" si="3"/>
        <v>381</v>
      </c>
      <c r="K1651" t="str">
        <f t="shared" si="4"/>
        <v>773.43</v>
      </c>
      <c r="L1651" t="str">
        <f t="shared" si="5"/>
        <v>6.44525</v>
      </c>
      <c r="M1651" t="str">
        <f t="shared" si="6"/>
        <v>203</v>
      </c>
      <c r="N1651" t="s">
        <v>187</v>
      </c>
      <c r="O1651" t="s">
        <v>2852</v>
      </c>
      <c r="P1651" t="s">
        <v>823</v>
      </c>
    </row>
    <row r="1652" ht="15.75" customHeight="1">
      <c r="A1652">
        <v>1664.0</v>
      </c>
      <c r="B1652">
        <v>149.5</v>
      </c>
      <c r="C1652">
        <v>141.0</v>
      </c>
      <c r="D1652">
        <v>3.0</v>
      </c>
      <c r="E1652" t="str">
        <f t="shared" si="8"/>
        <v>11.4</v>
      </c>
      <c r="F1652">
        <v>2.0</v>
      </c>
      <c r="G1652">
        <v>2.0</v>
      </c>
      <c r="H1652" t="str">
        <f t="shared" si="2"/>
        <v>4</v>
      </c>
      <c r="I1652">
        <v>96.0</v>
      </c>
      <c r="J1652" t="str">
        <f t="shared" si="3"/>
        <v>304.8</v>
      </c>
      <c r="K1652" t="str">
        <f t="shared" si="4"/>
        <v>981.456</v>
      </c>
      <c r="L1652" t="str">
        <f t="shared" si="5"/>
        <v>24.5364</v>
      </c>
      <c r="M1652" t="str">
        <f t="shared" si="6"/>
        <v>322</v>
      </c>
      <c r="N1652" t="s">
        <v>187</v>
      </c>
      <c r="O1652" t="s">
        <v>2853</v>
      </c>
      <c r="P1652" s="126" t="s">
        <v>2854</v>
      </c>
    </row>
    <row r="1653" ht="15.75" customHeight="1">
      <c r="A1653">
        <v>1665.0</v>
      </c>
      <c r="B1653">
        <v>105.0</v>
      </c>
      <c r="C1653">
        <v>339.0</v>
      </c>
      <c r="D1653">
        <v>3.0</v>
      </c>
      <c r="E1653" t="str">
        <f t="shared" si="8"/>
        <v>3.9</v>
      </c>
      <c r="F1653">
        <v>2.0</v>
      </c>
      <c r="G1653">
        <v>1.0</v>
      </c>
      <c r="H1653" t="str">
        <f t="shared" si="2"/>
        <v>2</v>
      </c>
      <c r="I1653">
        <v>108.0</v>
      </c>
      <c r="J1653" t="str">
        <f t="shared" si="3"/>
        <v>342.9</v>
      </c>
      <c r="K1653" t="str">
        <f t="shared" si="4"/>
        <v>798.957</v>
      </c>
      <c r="L1653" t="str">
        <f t="shared" si="5"/>
        <v>39.94785</v>
      </c>
      <c r="M1653" t="str">
        <f t="shared" si="6"/>
        <v>233</v>
      </c>
      <c r="N1653" t="s">
        <v>187</v>
      </c>
      <c r="O1653" t="s">
        <v>2855</v>
      </c>
      <c r="P1653" t="s">
        <v>823</v>
      </c>
    </row>
    <row r="1654" ht="15.75" customHeight="1">
      <c r="A1654">
        <v>1666.0</v>
      </c>
      <c r="B1654">
        <v>114.0</v>
      </c>
      <c r="C1654">
        <v>65.0</v>
      </c>
      <c r="D1654">
        <v>3.0</v>
      </c>
      <c r="E1654" t="str">
        <f t="shared" si="8"/>
        <v>3.2625</v>
      </c>
      <c r="F1654">
        <v>2.0</v>
      </c>
      <c r="G1654">
        <v>4.0</v>
      </c>
      <c r="H1654" t="str">
        <f t="shared" si="2"/>
        <v>8</v>
      </c>
      <c r="I1654">
        <v>86.0</v>
      </c>
      <c r="J1654" t="str">
        <f t="shared" si="3"/>
        <v>273.05</v>
      </c>
      <c r="K1654" t="str">
        <f t="shared" si="4"/>
        <v>685.3555</v>
      </c>
      <c r="L1654" t="str">
        <f t="shared" si="5"/>
        <v>8.56694375</v>
      </c>
      <c r="M1654" t="str">
        <f t="shared" si="6"/>
        <v>251</v>
      </c>
      <c r="N1654" t="s">
        <v>187</v>
      </c>
      <c r="O1654" t="s">
        <v>2856</v>
      </c>
      <c r="P1654" s="126" t="s">
        <v>2857</v>
      </c>
    </row>
    <row r="1655" ht="15.75" customHeight="1">
      <c r="A1655">
        <v>1667.0</v>
      </c>
      <c r="B1655">
        <v>45.0</v>
      </c>
      <c r="C1655">
        <v>122.0</v>
      </c>
      <c r="D1655">
        <v>3.0</v>
      </c>
      <c r="E1655" t="str">
        <f t="shared" si="8"/>
        <v>5</v>
      </c>
      <c r="F1655">
        <v>5.0</v>
      </c>
      <c r="G1655">
        <v>3.0</v>
      </c>
      <c r="H1655" t="str">
        <f t="shared" si="2"/>
        <v>15</v>
      </c>
      <c r="I1655">
        <v>120.0</v>
      </c>
      <c r="J1655" t="str">
        <f t="shared" si="3"/>
        <v>381</v>
      </c>
      <c r="K1655" t="str">
        <f t="shared" si="4"/>
        <v>979.17</v>
      </c>
      <c r="L1655" t="str">
        <f t="shared" si="5"/>
        <v>6.5278</v>
      </c>
      <c r="M1655" t="str">
        <f t="shared" si="6"/>
        <v>257</v>
      </c>
      <c r="N1655" t="s">
        <v>187</v>
      </c>
      <c r="O1655" t="s">
        <v>2858</v>
      </c>
      <c r="P1655" s="126" t="s">
        <v>2859</v>
      </c>
    </row>
    <row r="1656" ht="15.75" customHeight="1">
      <c r="A1656">
        <v>1668.0</v>
      </c>
      <c r="B1656">
        <v>90.0</v>
      </c>
      <c r="C1656">
        <v>170.0</v>
      </c>
      <c r="D1656">
        <v>3.0</v>
      </c>
      <c r="E1656" t="str">
        <f t="shared" si="8"/>
        <v>4.625</v>
      </c>
      <c r="F1656">
        <v>3.0</v>
      </c>
      <c r="G1656">
        <v>2.0</v>
      </c>
      <c r="H1656" t="str">
        <f t="shared" si="2"/>
        <v>6</v>
      </c>
      <c r="I1656">
        <v>110.0</v>
      </c>
      <c r="J1656" t="str">
        <f t="shared" si="3"/>
        <v>349.25</v>
      </c>
      <c r="K1656" t="str">
        <f t="shared" si="4"/>
        <v>1033.78</v>
      </c>
      <c r="L1656" t="str">
        <f t="shared" si="5"/>
        <v>17.22966667</v>
      </c>
      <c r="M1656" t="str">
        <f t="shared" si="6"/>
        <v>296</v>
      </c>
      <c r="N1656" t="s">
        <v>187</v>
      </c>
      <c r="O1656" t="s">
        <v>2860</v>
      </c>
      <c r="P1656" s="126" t="s">
        <v>2859</v>
      </c>
    </row>
    <row r="1657" ht="15.75" customHeight="1">
      <c r="A1657">
        <v>1669.0</v>
      </c>
      <c r="B1657">
        <v>35.0</v>
      </c>
      <c r="C1657">
        <v>140.0</v>
      </c>
      <c r="D1657">
        <v>3.0</v>
      </c>
      <c r="E1657" t="str">
        <f t="shared" si="8"/>
        <v>2.875</v>
      </c>
      <c r="F1657">
        <v>4.0</v>
      </c>
      <c r="G1657">
        <v>3.0</v>
      </c>
      <c r="H1657" t="str">
        <f t="shared" si="2"/>
        <v>12</v>
      </c>
      <c r="I1657">
        <v>135.0</v>
      </c>
      <c r="J1657" t="str">
        <f t="shared" si="3"/>
        <v>428.625</v>
      </c>
      <c r="K1657" t="str">
        <f t="shared" si="4"/>
        <v>724.37625</v>
      </c>
      <c r="L1657" t="str">
        <f t="shared" si="5"/>
        <v>6.03646875</v>
      </c>
      <c r="M1657" t="str">
        <f t="shared" si="6"/>
        <v>169</v>
      </c>
      <c r="N1657" t="s">
        <v>187</v>
      </c>
      <c r="O1657" t="s">
        <v>2861</v>
      </c>
      <c r="P1657" t="s">
        <v>823</v>
      </c>
    </row>
    <row r="1658" ht="15.75" customHeight="1">
      <c r="A1658">
        <v>1670.0</v>
      </c>
      <c r="B1658">
        <v>70.0</v>
      </c>
      <c r="C1658">
        <v>140.0</v>
      </c>
      <c r="D1658">
        <v>5.0</v>
      </c>
      <c r="E1658" t="str">
        <f t="shared" si="8"/>
        <v>2.875</v>
      </c>
      <c r="F1658">
        <v>2.0</v>
      </c>
      <c r="G1658">
        <v>3.0</v>
      </c>
      <c r="H1658" t="str">
        <f t="shared" si="2"/>
        <v>6</v>
      </c>
      <c r="I1658">
        <v>135.0</v>
      </c>
      <c r="J1658" t="str">
        <f t="shared" si="3"/>
        <v>428.625</v>
      </c>
      <c r="K1658" t="str">
        <f t="shared" si="4"/>
        <v>715.80375</v>
      </c>
      <c r="L1658" t="str">
        <f t="shared" si="5"/>
        <v>11.9300625</v>
      </c>
      <c r="M1658" t="str">
        <f t="shared" si="6"/>
        <v>167</v>
      </c>
      <c r="N1658" t="s">
        <v>187</v>
      </c>
      <c r="O1658" t="s">
        <v>2862</v>
      </c>
      <c r="P1658" t="s">
        <v>823</v>
      </c>
    </row>
    <row r="1659" ht="15.75" customHeight="1">
      <c r="A1659">
        <v>1671.0</v>
      </c>
      <c r="B1659">
        <v>80.0</v>
      </c>
      <c r="C1659">
        <v>124.0</v>
      </c>
      <c r="D1659">
        <v>3.0</v>
      </c>
      <c r="E1659" t="str">
        <f t="shared" si="8"/>
        <v>3</v>
      </c>
      <c r="F1659">
        <v>3.0</v>
      </c>
      <c r="G1659">
        <v>3.0</v>
      </c>
      <c r="H1659" t="str">
        <f t="shared" si="2"/>
        <v>9</v>
      </c>
      <c r="I1659">
        <v>120.0</v>
      </c>
      <c r="J1659" t="str">
        <f t="shared" si="3"/>
        <v>381</v>
      </c>
      <c r="K1659" t="str">
        <f t="shared" si="4"/>
        <v>1013.46</v>
      </c>
      <c r="L1659" t="str">
        <f t="shared" si="5"/>
        <v>11.26066667</v>
      </c>
      <c r="M1659" t="str">
        <f t="shared" si="6"/>
        <v>266</v>
      </c>
      <c r="N1659" t="s">
        <v>187</v>
      </c>
      <c r="O1659" t="s">
        <v>2863</v>
      </c>
      <c r="P1659" t="s">
        <v>823</v>
      </c>
    </row>
    <row r="1660" ht="15.75" customHeight="1">
      <c r="A1660">
        <v>1672.0</v>
      </c>
      <c r="B1660">
        <v>77.0</v>
      </c>
      <c r="C1660">
        <v>147.0</v>
      </c>
      <c r="D1660">
        <v>3.0</v>
      </c>
      <c r="E1660" t="str">
        <f t="shared" si="8"/>
        <v>5.4</v>
      </c>
      <c r="F1660">
        <v>3.0</v>
      </c>
      <c r="G1660">
        <v>2.0</v>
      </c>
      <c r="H1660" t="str">
        <f t="shared" si="2"/>
        <v>6</v>
      </c>
      <c r="I1660">
        <v>96.0</v>
      </c>
      <c r="J1660" t="str">
        <f t="shared" si="3"/>
        <v>304.8</v>
      </c>
      <c r="K1660" t="str">
        <f t="shared" si="4"/>
        <v>783.336</v>
      </c>
      <c r="L1660" t="str">
        <f t="shared" si="5"/>
        <v>13.0556</v>
      </c>
      <c r="M1660" t="str">
        <f t="shared" si="6"/>
        <v>257</v>
      </c>
      <c r="N1660" t="s">
        <v>187</v>
      </c>
      <c r="O1660" t="s">
        <v>2864</v>
      </c>
      <c r="P1660" t="s">
        <v>823</v>
      </c>
    </row>
    <row r="1661" ht="15.75" customHeight="1">
      <c r="A1661">
        <v>1673.0</v>
      </c>
      <c r="B1661">
        <v>156.0</v>
      </c>
      <c r="C1661">
        <v>98.7</v>
      </c>
      <c r="D1661">
        <v>5.0</v>
      </c>
      <c r="E1661" t="str">
        <f t="shared" si="8"/>
        <v>5.016666667</v>
      </c>
      <c r="F1661">
        <v>2.0</v>
      </c>
      <c r="G1661">
        <v>3.0</v>
      </c>
      <c r="H1661" t="str">
        <f t="shared" si="2"/>
        <v>6</v>
      </c>
      <c r="I1661">
        <v>98.0</v>
      </c>
      <c r="J1661" t="str">
        <f t="shared" si="3"/>
        <v>311.15</v>
      </c>
      <c r="K1661" t="str">
        <f t="shared" si="4"/>
        <v>1054.7985</v>
      </c>
      <c r="L1661" t="str">
        <f t="shared" si="5"/>
        <v>17.579975</v>
      </c>
      <c r="M1661" t="str">
        <f t="shared" si="6"/>
        <v>339</v>
      </c>
      <c r="N1661" t="s">
        <v>187</v>
      </c>
      <c r="O1661" t="s">
        <v>2865</v>
      </c>
      <c r="P1661" s="126" t="s">
        <v>2866</v>
      </c>
    </row>
    <row r="1662" ht="15.75" customHeight="1">
      <c r="A1662">
        <v>1674.0</v>
      </c>
      <c r="B1662">
        <v>126.0</v>
      </c>
      <c r="C1662">
        <v>50.0</v>
      </c>
      <c r="D1662">
        <v>3.0</v>
      </c>
      <c r="E1662" t="str">
        <f t="shared" si="8"/>
        <v>3.34</v>
      </c>
      <c r="F1662">
        <v>2.0</v>
      </c>
      <c r="G1662">
        <v>5.0</v>
      </c>
      <c r="H1662" t="str">
        <f t="shared" si="2"/>
        <v>10</v>
      </c>
      <c r="I1662">
        <v>84.0</v>
      </c>
      <c r="J1662" t="str">
        <f t="shared" si="3"/>
        <v>266.7</v>
      </c>
      <c r="K1662" t="str">
        <f t="shared" si="4"/>
        <v>733.425</v>
      </c>
      <c r="L1662" t="str">
        <f t="shared" si="5"/>
        <v>7.33425</v>
      </c>
      <c r="M1662" t="str">
        <f t="shared" si="6"/>
        <v>275</v>
      </c>
      <c r="N1662" t="s">
        <v>187</v>
      </c>
      <c r="O1662" t="s">
        <v>2867</v>
      </c>
      <c r="P1662" s="126" t="s">
        <v>2868</v>
      </c>
    </row>
    <row r="1663" ht="15.75" customHeight="1">
      <c r="A1663">
        <v>1675.0</v>
      </c>
      <c r="B1663">
        <v>115.0</v>
      </c>
      <c r="C1663">
        <v>180.0</v>
      </c>
      <c r="D1663">
        <v>4.0</v>
      </c>
      <c r="E1663" t="str">
        <f t="shared" si="8"/>
        <v>10.5</v>
      </c>
      <c r="F1663">
        <v>2.0</v>
      </c>
      <c r="G1663">
        <v>2.0</v>
      </c>
      <c r="H1663" t="str">
        <f t="shared" si="2"/>
        <v>4</v>
      </c>
      <c r="I1663">
        <v>120.0</v>
      </c>
      <c r="J1663" t="str">
        <f t="shared" si="3"/>
        <v>381</v>
      </c>
      <c r="K1663" t="str">
        <f t="shared" si="4"/>
        <v>971.55</v>
      </c>
      <c r="L1663" t="str">
        <f t="shared" si="5"/>
        <v>24.28875</v>
      </c>
      <c r="M1663" t="str">
        <f t="shared" si="6"/>
        <v>255</v>
      </c>
      <c r="N1663" t="s">
        <v>187</v>
      </c>
      <c r="O1663" t="s">
        <v>2869</v>
      </c>
      <c r="P1663" t="s">
        <v>823</v>
      </c>
    </row>
    <row r="1664" ht="15.75" customHeight="1">
      <c r="A1664">
        <v>1676.0</v>
      </c>
      <c r="B1664">
        <v>175.0</v>
      </c>
      <c r="C1664">
        <v>55.0</v>
      </c>
      <c r="D1664">
        <v>4.0</v>
      </c>
      <c r="E1664" t="str">
        <f t="shared" si="8"/>
        <v>8.5</v>
      </c>
      <c r="F1664">
        <v>2.0</v>
      </c>
      <c r="G1664">
        <v>6.0</v>
      </c>
      <c r="H1664" t="str">
        <f t="shared" si="2"/>
        <v>12</v>
      </c>
      <c r="I1664">
        <v>120.0</v>
      </c>
      <c r="J1664" t="str">
        <f t="shared" si="3"/>
        <v>381</v>
      </c>
      <c r="K1664" t="str">
        <f t="shared" si="4"/>
        <v>1428.75</v>
      </c>
      <c r="L1664" t="str">
        <f t="shared" si="5"/>
        <v>11.90625</v>
      </c>
      <c r="M1664" t="str">
        <f t="shared" si="6"/>
        <v>375</v>
      </c>
      <c r="N1664" t="s">
        <v>187</v>
      </c>
      <c r="O1664" t="s">
        <v>2870</v>
      </c>
      <c r="P1664" s="126" t="s">
        <v>2871</v>
      </c>
    </row>
    <row r="1665" ht="15.75" customHeight="1">
      <c r="A1665">
        <v>1677.0</v>
      </c>
      <c r="B1665">
        <v>113.0</v>
      </c>
      <c r="C1665">
        <v>59.5</v>
      </c>
      <c r="D1665">
        <v>3.0</v>
      </c>
      <c r="E1665" t="str">
        <f t="shared" si="8"/>
        <v>2.73</v>
      </c>
      <c r="F1665">
        <v>3.0</v>
      </c>
      <c r="G1665">
        <v>5.0</v>
      </c>
      <c r="H1665" t="str">
        <f t="shared" si="2"/>
        <v>15</v>
      </c>
      <c r="I1665">
        <v>98.0</v>
      </c>
      <c r="J1665" t="str">
        <f t="shared" si="3"/>
        <v>311.15</v>
      </c>
      <c r="K1665" t="str">
        <f t="shared" si="4"/>
        <v>1135.6975</v>
      </c>
      <c r="L1665" t="str">
        <f t="shared" si="5"/>
        <v>7.571316667</v>
      </c>
      <c r="M1665" t="str">
        <f t="shared" si="6"/>
        <v>365</v>
      </c>
      <c r="N1665" t="s">
        <v>187</v>
      </c>
      <c r="O1665" t="s">
        <v>2872</v>
      </c>
      <c r="P1665" t="s">
        <v>823</v>
      </c>
    </row>
    <row r="1666" ht="15.75" customHeight="1">
      <c r="A1666">
        <v>1678.0</v>
      </c>
      <c r="B1666">
        <v>54.7</v>
      </c>
      <c r="C1666">
        <v>100.0</v>
      </c>
      <c r="D1666">
        <v>3.0</v>
      </c>
      <c r="E1666" t="str">
        <f t="shared" si="8"/>
        <v>3.716666667</v>
      </c>
      <c r="F1666">
        <v>5.0</v>
      </c>
      <c r="G1666">
        <v>3.0</v>
      </c>
      <c r="H1666" t="str">
        <f t="shared" si="2"/>
        <v>15</v>
      </c>
      <c r="I1666">
        <v>98.0</v>
      </c>
      <c r="J1666" t="str">
        <f t="shared" si="3"/>
        <v>311.15</v>
      </c>
      <c r="K1666" t="str">
        <f t="shared" si="4"/>
        <v>950.56325</v>
      </c>
      <c r="L1666" t="str">
        <f t="shared" si="5"/>
        <v>6.337088333</v>
      </c>
      <c r="M1666" t="str">
        <f t="shared" si="6"/>
        <v>305.5</v>
      </c>
      <c r="N1666" t="s">
        <v>187</v>
      </c>
      <c r="O1666" t="s">
        <v>2873</v>
      </c>
      <c r="P1666" s="126" t="s">
        <v>2874</v>
      </c>
    </row>
    <row r="1667" ht="15.75" customHeight="1">
      <c r="A1667">
        <v>1679.0</v>
      </c>
      <c r="B1667">
        <v>75.0</v>
      </c>
      <c r="C1667">
        <v>33.0</v>
      </c>
      <c r="D1667">
        <v>3.0</v>
      </c>
      <c r="E1667">
        <v>2.71875</v>
      </c>
      <c r="F1667">
        <v>4.0</v>
      </c>
      <c r="G1667">
        <v>8.0</v>
      </c>
      <c r="H1667">
        <v>32.0</v>
      </c>
      <c r="I1667">
        <v>90.0</v>
      </c>
      <c r="J1667">
        <v>285.75</v>
      </c>
      <c r="K1667">
        <v>940.1175</v>
      </c>
      <c r="L1667">
        <v>2.9378671875</v>
      </c>
      <c r="M1667">
        <v>329.0</v>
      </c>
      <c r="N1667" t="s">
        <v>187</v>
      </c>
      <c r="O1667" t="s">
        <v>2875</v>
      </c>
      <c r="P1667" s="126" t="s">
        <v>2876</v>
      </c>
    </row>
    <row r="1668" ht="15.75" customHeight="1">
      <c r="A1668">
        <v>1680.0</v>
      </c>
      <c r="B1668">
        <v>54.5</v>
      </c>
      <c r="C1668">
        <v>139.0</v>
      </c>
      <c r="D1668">
        <v>5.0</v>
      </c>
      <c r="E1668">
        <v>3.875</v>
      </c>
      <c r="F1668">
        <v>3.0</v>
      </c>
      <c r="G1668">
        <v>2.0</v>
      </c>
      <c r="H1668">
        <v>6.0</v>
      </c>
      <c r="I1668">
        <v>90.0</v>
      </c>
      <c r="J1668">
        <v>285.75</v>
      </c>
      <c r="K1668">
        <v>558.64125</v>
      </c>
      <c r="L1668">
        <v>9.3106875</v>
      </c>
      <c r="M1668">
        <v>195.5</v>
      </c>
      <c r="N1668" t="s">
        <v>187</v>
      </c>
      <c r="O1668" t="s">
        <v>2877</v>
      </c>
      <c r="P1668" s="126" t="s">
        <v>2839</v>
      </c>
    </row>
    <row r="1669" ht="15.75" customHeight="1">
      <c r="A1669">
        <v>1681.0</v>
      </c>
      <c r="B1669">
        <v>288.2</v>
      </c>
      <c r="C1669">
        <v>66.9</v>
      </c>
      <c r="D1669">
        <v>3.0</v>
      </c>
      <c r="E1669">
        <v>4.537499999999994</v>
      </c>
      <c r="F1669">
        <v>1.0</v>
      </c>
      <c r="G1669">
        <v>4.0</v>
      </c>
      <c r="H1669">
        <v>4.0</v>
      </c>
      <c r="I1669">
        <v>90.0</v>
      </c>
      <c r="J1669">
        <v>285.75</v>
      </c>
      <c r="K1669">
        <v>880.6814999999999</v>
      </c>
      <c r="L1669">
        <v>22.0170375</v>
      </c>
      <c r="M1669">
        <v>308.2</v>
      </c>
      <c r="N1669" t="s">
        <v>187</v>
      </c>
      <c r="O1669" t="s">
        <v>2878</v>
      </c>
      <c r="P1669" s="126" t="s">
        <v>2879</v>
      </c>
    </row>
    <row r="1670" ht="15.75" customHeight="1">
      <c r="A1670">
        <v>1682.0</v>
      </c>
      <c r="B1670">
        <v>85.0</v>
      </c>
      <c r="C1670">
        <v>280.0</v>
      </c>
      <c r="D1670">
        <v>3.0</v>
      </c>
      <c r="E1670">
        <v>5.75</v>
      </c>
      <c r="F1670">
        <v>4.0</v>
      </c>
      <c r="G1670">
        <v>1.0</v>
      </c>
      <c r="H1670">
        <v>4.0</v>
      </c>
      <c r="I1670">
        <v>90.0</v>
      </c>
      <c r="J1670">
        <v>285.75</v>
      </c>
      <c r="K1670">
        <v>1054.4175</v>
      </c>
      <c r="L1670">
        <v>26.3604375</v>
      </c>
      <c r="M1670">
        <v>369.0</v>
      </c>
      <c r="N1670" t="s">
        <v>182</v>
      </c>
      <c r="O1670" t="s">
        <v>2880</v>
      </c>
      <c r="P1670" s="126" t="s">
        <v>2826</v>
      </c>
    </row>
    <row r="1671" ht="15.75" customHeight="1">
      <c r="A1671">
        <v>1683.0</v>
      </c>
      <c r="B1671">
        <v>80.0</v>
      </c>
      <c r="C1671">
        <v>80.0</v>
      </c>
      <c r="D1671">
        <v>3.0</v>
      </c>
      <c r="E1671">
        <v>3.34375</v>
      </c>
      <c r="F1671">
        <v>4.0</v>
      </c>
      <c r="G1671">
        <v>4.0</v>
      </c>
      <c r="H1671">
        <v>16.0</v>
      </c>
      <c r="I1671">
        <v>105.0</v>
      </c>
      <c r="J1671">
        <v>333.375</v>
      </c>
      <c r="K1671">
        <v>1163.47875</v>
      </c>
      <c r="L1671">
        <v>7.2717421875</v>
      </c>
      <c r="M1671">
        <v>349.0</v>
      </c>
      <c r="N1671" t="s">
        <v>187</v>
      </c>
      <c r="O1671" t="s">
        <v>2881</v>
      </c>
      <c r="P1671" s="126" t="s">
        <v>2882</v>
      </c>
    </row>
    <row r="1672" ht="15.75" customHeight="1">
      <c r="A1672">
        <v>1684.0</v>
      </c>
      <c r="B1672">
        <v>73.0</v>
      </c>
      <c r="C1672">
        <v>73.0</v>
      </c>
      <c r="D1672">
        <v>3.0</v>
      </c>
      <c r="E1672">
        <v>3.199999999999989</v>
      </c>
      <c r="F1672">
        <v>4.0</v>
      </c>
      <c r="G1672">
        <v>4.0</v>
      </c>
      <c r="H1672">
        <v>16.0</v>
      </c>
      <c r="I1672">
        <v>96.0</v>
      </c>
      <c r="J1672">
        <v>304.8</v>
      </c>
      <c r="K1672">
        <v>978.4079999999999</v>
      </c>
      <c r="L1672">
        <v>6.115049999999999</v>
      </c>
      <c r="M1672">
        <v>321.0</v>
      </c>
      <c r="N1672" t="s">
        <v>187</v>
      </c>
      <c r="O1672" t="s">
        <v>2883</v>
      </c>
      <c r="P1672" s="126" t="s">
        <v>2882</v>
      </c>
    </row>
    <row r="1673" ht="15.75" customHeight="1">
      <c r="A1673">
        <v>1685.0</v>
      </c>
      <c r="B1673">
        <v>44.0</v>
      </c>
      <c r="C1673">
        <v>288.0</v>
      </c>
      <c r="D1673">
        <v>3.0</v>
      </c>
      <c r="E1673">
        <v>16.79999999999995</v>
      </c>
      <c r="F1673">
        <v>6.0</v>
      </c>
      <c r="G1673">
        <v>1.0</v>
      </c>
      <c r="H1673">
        <v>6.0</v>
      </c>
      <c r="I1673">
        <v>96.0</v>
      </c>
      <c r="J1673">
        <v>304.8</v>
      </c>
      <c r="K1673">
        <v>911.3519999999999</v>
      </c>
      <c r="L1673">
        <v>15.1892</v>
      </c>
      <c r="M1673">
        <v>299.0</v>
      </c>
      <c r="N1673" t="s">
        <v>187</v>
      </c>
      <c r="O1673" t="s">
        <v>2884</v>
      </c>
      <c r="P1673" s="126" t="s">
        <v>2882</v>
      </c>
    </row>
    <row r="1674" ht="15.75" customHeight="1">
      <c r="A1674">
        <v>1686.0</v>
      </c>
      <c r="B1674">
        <v>28.5</v>
      </c>
      <c r="C1674">
        <v>285.0</v>
      </c>
      <c r="D1674">
        <v>3.0</v>
      </c>
      <c r="E1674">
        <v>19.79999999999995</v>
      </c>
      <c r="F1674">
        <v>9.0</v>
      </c>
      <c r="G1674">
        <v>1.0</v>
      </c>
      <c r="H1674">
        <v>9.0</v>
      </c>
      <c r="I1674">
        <v>96.0</v>
      </c>
      <c r="J1674">
        <v>304.8</v>
      </c>
      <c r="K1674">
        <v>915.9239999999998</v>
      </c>
      <c r="L1674">
        <v>10.17693333333333</v>
      </c>
      <c r="M1674">
        <v>300.5</v>
      </c>
      <c r="N1674" t="s">
        <v>187</v>
      </c>
      <c r="O1674" t="s">
        <v>2885</v>
      </c>
      <c r="P1674" s="126" t="s">
        <v>2882</v>
      </c>
    </row>
    <row r="1675" ht="15.75" customHeight="1">
      <c r="A1675">
        <v>1687.0</v>
      </c>
      <c r="B1675">
        <v>123.0</v>
      </c>
      <c r="C1675">
        <v>140.0</v>
      </c>
      <c r="D1675">
        <v>3.0</v>
      </c>
      <c r="E1675">
        <v>2.875</v>
      </c>
      <c r="F1675">
        <v>2.0</v>
      </c>
      <c r="G1675">
        <v>2.0</v>
      </c>
      <c r="H1675">
        <v>4.0</v>
      </c>
      <c r="I1675">
        <v>90.0</v>
      </c>
      <c r="J1675">
        <v>285.75</v>
      </c>
      <c r="K1675">
        <v>768.6675</v>
      </c>
      <c r="L1675">
        <v>19.2166875</v>
      </c>
      <c r="M1675">
        <v>269.0</v>
      </c>
      <c r="N1675" t="s">
        <v>187</v>
      </c>
      <c r="O1675" t="s">
        <v>2886</v>
      </c>
      <c r="P1675" s="126" t="s">
        <v>2882</v>
      </c>
    </row>
    <row r="1676" ht="15.75" customHeight="1">
      <c r="A1676">
        <v>1688.0</v>
      </c>
      <c r="B1676">
        <v>50.0</v>
      </c>
      <c r="C1676">
        <v>30.0</v>
      </c>
      <c r="D1676">
        <v>3.0</v>
      </c>
      <c r="E1676">
        <v>3.337499999999999</v>
      </c>
      <c r="F1676">
        <v>5.0</v>
      </c>
      <c r="G1676">
        <v>8.0</v>
      </c>
      <c r="H1676">
        <v>40.0</v>
      </c>
      <c r="I1676">
        <v>84.0</v>
      </c>
      <c r="J1676">
        <v>266.7</v>
      </c>
      <c r="K1676">
        <v>752.0939999999999</v>
      </c>
      <c r="L1676">
        <v>1.880235</v>
      </c>
      <c r="M1676">
        <v>282.0</v>
      </c>
      <c r="N1676" t="s">
        <v>182</v>
      </c>
      <c r="O1676" t="s">
        <v>2887</v>
      </c>
      <c r="P1676" s="126" t="s">
        <v>2854</v>
      </c>
    </row>
    <row r="1677" ht="15.75" customHeight="1">
      <c r="A1677">
        <v>1689.0</v>
      </c>
      <c r="B1677">
        <v>70.0</v>
      </c>
      <c r="C1677">
        <v>38.0</v>
      </c>
      <c r="D1677">
        <v>3.0</v>
      </c>
      <c r="E1677">
        <v>3.671875</v>
      </c>
      <c r="F1677">
        <v>5.0</v>
      </c>
      <c r="G1677">
        <v>8.0</v>
      </c>
      <c r="H1677">
        <v>40.0</v>
      </c>
      <c r="I1677">
        <v>105.0</v>
      </c>
      <c r="J1677">
        <v>333.375</v>
      </c>
      <c r="K1677">
        <v>1273.4925</v>
      </c>
      <c r="L1677">
        <v>3.18373125</v>
      </c>
      <c r="M1677">
        <v>382.0</v>
      </c>
      <c r="N1677" t="s">
        <v>187</v>
      </c>
      <c r="O1677" t="s">
        <v>2888</v>
      </c>
      <c r="P1677" s="126" t="s">
        <v>2889</v>
      </c>
    </row>
    <row r="1678" ht="15.75" customHeight="1">
      <c r="A1678">
        <v>1691.0</v>
      </c>
      <c r="B1678">
        <v>94.0</v>
      </c>
      <c r="C1678">
        <v>60.0</v>
      </c>
      <c r="D1678">
        <v>4.0</v>
      </c>
      <c r="E1678">
        <v>3.5</v>
      </c>
      <c r="F1678">
        <v>2.0</v>
      </c>
      <c r="G1678">
        <v>6.0</v>
      </c>
      <c r="H1678">
        <v>12.0</v>
      </c>
      <c r="I1678">
        <v>120.0</v>
      </c>
      <c r="J1678">
        <v>381.0</v>
      </c>
      <c r="K1678">
        <v>811.53</v>
      </c>
      <c r="L1678">
        <v>6.76275</v>
      </c>
      <c r="M1678">
        <v>213.0</v>
      </c>
      <c r="N1678" t="s">
        <v>187</v>
      </c>
      <c r="O1678" t="s">
        <v>2890</v>
      </c>
      <c r="P1678" t="s">
        <v>823</v>
      </c>
    </row>
    <row r="1679" ht="15.75" customHeight="1">
      <c r="A1679">
        <v>1692.0</v>
      </c>
      <c r="B1679">
        <v>96.0</v>
      </c>
      <c r="C1679">
        <v>192.0</v>
      </c>
      <c r="D1679">
        <v>3.0</v>
      </c>
      <c r="E1679">
        <v>8.024999999999977</v>
      </c>
      <c r="F1679">
        <v>2.0</v>
      </c>
      <c r="G1679">
        <v>2.0</v>
      </c>
      <c r="H1679">
        <v>4.0</v>
      </c>
      <c r="I1679">
        <v>126.0</v>
      </c>
      <c r="J1679">
        <v>400.05</v>
      </c>
      <c r="K1679">
        <v>860.1074999999998</v>
      </c>
      <c r="L1679">
        <v>21.5026875</v>
      </c>
      <c r="M1679">
        <v>215.0</v>
      </c>
      <c r="N1679" t="s">
        <v>187</v>
      </c>
      <c r="O1679" t="s">
        <v>2891</v>
      </c>
      <c r="P1679" t="s">
        <v>823</v>
      </c>
    </row>
    <row r="1680" ht="15.75" customHeight="1">
      <c r="A1680">
        <v>1693.0</v>
      </c>
      <c r="B1680">
        <v>280.0</v>
      </c>
      <c r="C1680">
        <v>180.0</v>
      </c>
      <c r="D1680">
        <v>3.0</v>
      </c>
      <c r="E1680">
        <v>10.5</v>
      </c>
      <c r="F1680">
        <v>1.0</v>
      </c>
      <c r="G1680">
        <v>2.0</v>
      </c>
      <c r="H1680">
        <v>2.0</v>
      </c>
      <c r="I1680">
        <v>120.0</v>
      </c>
      <c r="J1680">
        <v>381.0</v>
      </c>
      <c r="K1680">
        <v>1143.0</v>
      </c>
      <c r="L1680">
        <v>57.15</v>
      </c>
      <c r="M1680">
        <v>300.0</v>
      </c>
      <c r="N1680" t="s">
        <v>187</v>
      </c>
      <c r="O1680" t="s">
        <v>2892</v>
      </c>
      <c r="P1680" t="s">
        <v>823</v>
      </c>
    </row>
    <row r="1681" ht="15.75" customHeight="1">
      <c r="A1681">
        <v>1694.0</v>
      </c>
      <c r="B1681">
        <v>120.0</v>
      </c>
      <c r="C1681">
        <v>170.0</v>
      </c>
      <c r="D1681">
        <v>3.0</v>
      </c>
      <c r="E1681">
        <v>4.625</v>
      </c>
      <c r="F1681">
        <v>2.0</v>
      </c>
      <c r="G1681">
        <v>2.0</v>
      </c>
      <c r="H1681">
        <v>4.0</v>
      </c>
      <c r="I1681">
        <v>110.0</v>
      </c>
      <c r="J1681">
        <v>349.25</v>
      </c>
      <c r="K1681">
        <v>918.5275</v>
      </c>
      <c r="L1681">
        <v>22.9631875</v>
      </c>
      <c r="M1681">
        <v>263.0</v>
      </c>
      <c r="N1681" t="s">
        <v>187</v>
      </c>
      <c r="O1681" t="s">
        <v>2893</v>
      </c>
      <c r="P1681" t="s">
        <v>823</v>
      </c>
    </row>
    <row r="1682" ht="15.75" customHeight="1">
      <c r="A1682">
        <v>1695.0</v>
      </c>
      <c r="B1682">
        <v>90.0</v>
      </c>
      <c r="C1682">
        <v>231.0</v>
      </c>
      <c r="D1682">
        <v>3.0</v>
      </c>
      <c r="E1682">
        <v>3.949999999999989</v>
      </c>
      <c r="F1682">
        <v>4.0</v>
      </c>
      <c r="G1682">
        <v>2.0</v>
      </c>
      <c r="H1682">
        <v>8.0</v>
      </c>
      <c r="I1682">
        <v>148.0</v>
      </c>
      <c r="J1682">
        <v>469.9</v>
      </c>
      <c r="K1682">
        <v>1827.911</v>
      </c>
      <c r="L1682">
        <v>22.8488875</v>
      </c>
      <c r="M1682">
        <v>389.0</v>
      </c>
      <c r="N1682" t="s">
        <v>187</v>
      </c>
      <c r="O1682" t="s">
        <v>2894</v>
      </c>
      <c r="P1682" t="s">
        <v>823</v>
      </c>
    </row>
    <row r="1683" ht="15.75" customHeight="1">
      <c r="A1683">
        <v>1696.0</v>
      </c>
      <c r="B1683">
        <v>180.0</v>
      </c>
      <c r="C1683">
        <v>180.0</v>
      </c>
      <c r="D1683">
        <v>3.0</v>
      </c>
      <c r="E1683">
        <v>10.5</v>
      </c>
      <c r="F1683">
        <v>1.0</v>
      </c>
      <c r="G1683">
        <v>2.0</v>
      </c>
      <c r="H1683">
        <v>2.0</v>
      </c>
      <c r="I1683">
        <v>120.0</v>
      </c>
      <c r="J1683">
        <v>381.0</v>
      </c>
      <c r="K1683">
        <v>762.0</v>
      </c>
      <c r="L1683">
        <v>38.1</v>
      </c>
      <c r="M1683">
        <v>200.0</v>
      </c>
      <c r="N1683" t="s">
        <v>187</v>
      </c>
      <c r="O1683" t="s">
        <v>2895</v>
      </c>
      <c r="P1683" t="s">
        <v>823</v>
      </c>
    </row>
    <row r="1684" ht="15.75" customHeight="1">
      <c r="A1684">
        <v>1697.0</v>
      </c>
      <c r="B1684">
        <v>70.0</v>
      </c>
      <c r="C1684">
        <v>37.0</v>
      </c>
      <c r="D1684">
        <v>3.0</v>
      </c>
      <c r="E1684">
        <v>3.481249999999996</v>
      </c>
      <c r="F1684">
        <v>4.0</v>
      </c>
      <c r="G1684">
        <v>8.0</v>
      </c>
      <c r="H1684">
        <v>32.0</v>
      </c>
      <c r="I1684">
        <v>102.0</v>
      </c>
      <c r="J1684">
        <v>323.85</v>
      </c>
      <c r="K1684">
        <v>1000.6965</v>
      </c>
      <c r="L1684">
        <v>3.1271765625</v>
      </c>
      <c r="M1684">
        <v>309.0</v>
      </c>
      <c r="N1684" t="s">
        <v>187</v>
      </c>
      <c r="O1684" t="s">
        <v>2896</v>
      </c>
      <c r="P1684" s="126" t="s">
        <v>2826</v>
      </c>
    </row>
    <row r="1685" ht="15.75" customHeight="1">
      <c r="A1685">
        <v>1698.0</v>
      </c>
      <c r="B1685">
        <v>194.2</v>
      </c>
      <c r="C1685">
        <v>148.0</v>
      </c>
      <c r="D1685">
        <v>3.0</v>
      </c>
      <c r="E1685">
        <v>4.399999999999977</v>
      </c>
      <c r="F1685">
        <v>2.0</v>
      </c>
      <c r="G1685">
        <v>2.0</v>
      </c>
      <c r="H1685">
        <v>4.0</v>
      </c>
      <c r="I1685">
        <v>96.0</v>
      </c>
      <c r="J1685">
        <v>304.8</v>
      </c>
      <c r="K1685">
        <v>1253.9472</v>
      </c>
      <c r="L1685">
        <v>31.34867999999999</v>
      </c>
      <c r="M1685">
        <v>411.4</v>
      </c>
      <c r="N1685" t="s">
        <v>187</v>
      </c>
      <c r="O1685" t="s">
        <v>2897</v>
      </c>
      <c r="P1685" s="126" t="s">
        <v>2898</v>
      </c>
    </row>
    <row r="1686" ht="15.75" customHeight="1">
      <c r="A1686">
        <v>1699.0</v>
      </c>
      <c r="B1686">
        <v>120.0</v>
      </c>
      <c r="C1686">
        <v>210.0</v>
      </c>
      <c r="D1686">
        <v>3.0</v>
      </c>
      <c r="E1686">
        <v>4.3125</v>
      </c>
      <c r="F1686">
        <v>3.0</v>
      </c>
      <c r="G1686">
        <v>2.0</v>
      </c>
      <c r="H1686">
        <v>6.0</v>
      </c>
      <c r="I1686">
        <v>135.0</v>
      </c>
      <c r="J1686">
        <v>428.625</v>
      </c>
      <c r="K1686">
        <v>1654.4925</v>
      </c>
      <c r="L1686">
        <v>27.57487499999999</v>
      </c>
      <c r="M1686">
        <v>386.0</v>
      </c>
      <c r="N1686" t="s">
        <v>187</v>
      </c>
      <c r="O1686" t="s">
        <v>2899</v>
      </c>
      <c r="P1686" t="s">
        <v>823</v>
      </c>
    </row>
    <row r="1687" ht="15.75" customHeight="1">
      <c r="A1687">
        <v>1700.0</v>
      </c>
      <c r="B1687">
        <v>115.0</v>
      </c>
      <c r="C1687">
        <v>160.0</v>
      </c>
      <c r="D1687">
        <v>3.0</v>
      </c>
      <c r="E1687">
        <v>6.6875</v>
      </c>
      <c r="F1687">
        <v>3.0</v>
      </c>
      <c r="G1687">
        <v>2.0</v>
      </c>
      <c r="H1687">
        <v>6.0</v>
      </c>
      <c r="I1687">
        <v>105.0</v>
      </c>
      <c r="J1687">
        <v>333.375</v>
      </c>
      <c r="K1687">
        <v>1236.82125</v>
      </c>
      <c r="L1687">
        <v>20.6136875</v>
      </c>
      <c r="M1687">
        <v>371.0</v>
      </c>
      <c r="N1687" t="s">
        <v>187</v>
      </c>
      <c r="O1687" t="s">
        <v>2900</v>
      </c>
      <c r="P1687" t="s">
        <v>823</v>
      </c>
    </row>
    <row r="1688" ht="15.75" customHeight="1">
      <c r="A1688">
        <v>1701.0</v>
      </c>
      <c r="B1688">
        <v>152.6</v>
      </c>
      <c r="C1688">
        <v>76.7</v>
      </c>
      <c r="D1688">
        <v>3.0</v>
      </c>
      <c r="E1688">
        <v>4.262499999999989</v>
      </c>
      <c r="F1688">
        <v>2.0</v>
      </c>
      <c r="G1688">
        <v>4.0</v>
      </c>
      <c r="H1688">
        <v>8.0</v>
      </c>
      <c r="I1688">
        <v>102.0</v>
      </c>
      <c r="J1688">
        <v>323.85</v>
      </c>
      <c r="K1688">
        <v>1062.8757</v>
      </c>
      <c r="L1688">
        <v>13.28594625</v>
      </c>
      <c r="M1688">
        <v>328.2</v>
      </c>
      <c r="N1688" t="s">
        <v>187</v>
      </c>
      <c r="O1688" t="s">
        <v>2901</v>
      </c>
      <c r="P1688" s="126" t="s">
        <v>2826</v>
      </c>
    </row>
    <row r="1689" ht="15.75" customHeight="1">
      <c r="A1689">
        <v>1702.0</v>
      </c>
      <c r="B1689">
        <v>96.0</v>
      </c>
      <c r="C1689">
        <v>192.0</v>
      </c>
      <c r="D1689">
        <v>3.0</v>
      </c>
      <c r="E1689">
        <v>8.024999999999977</v>
      </c>
      <c r="F1689">
        <v>2.0</v>
      </c>
      <c r="G1689">
        <v>2.0</v>
      </c>
      <c r="H1689">
        <v>4.0</v>
      </c>
      <c r="I1689">
        <v>126.0</v>
      </c>
      <c r="J1689">
        <v>400.05</v>
      </c>
      <c r="K1689">
        <v>860.1074999999998</v>
      </c>
      <c r="L1689">
        <v>21.5026875</v>
      </c>
      <c r="M1689">
        <v>215.0</v>
      </c>
      <c r="N1689" t="s">
        <v>187</v>
      </c>
      <c r="O1689" t="s">
        <v>2902</v>
      </c>
      <c r="P1689" t="s">
        <v>823</v>
      </c>
    </row>
    <row r="1690" ht="15.75" customHeight="1">
      <c r="A1690">
        <v>1703.0</v>
      </c>
      <c r="B1690">
        <v>100.0</v>
      </c>
      <c r="C1690">
        <v>75.0</v>
      </c>
      <c r="D1690">
        <v>3.0</v>
      </c>
      <c r="E1690">
        <v>5.962499999999991</v>
      </c>
      <c r="F1690">
        <v>3.0</v>
      </c>
      <c r="G1690">
        <v>4.0</v>
      </c>
      <c r="H1690">
        <v>12.0</v>
      </c>
      <c r="I1690">
        <v>102.0</v>
      </c>
      <c r="J1690">
        <v>323.85</v>
      </c>
      <c r="K1690">
        <v>1055.751</v>
      </c>
      <c r="L1690">
        <v>8.797925</v>
      </c>
      <c r="M1690">
        <v>326.0</v>
      </c>
      <c r="N1690" t="s">
        <v>187</v>
      </c>
      <c r="O1690" t="s">
        <v>2903</v>
      </c>
      <c r="P1690" t="s">
        <v>823</v>
      </c>
    </row>
    <row r="1691" ht="15.75" customHeight="1">
      <c r="A1691">
        <v>1704.0</v>
      </c>
      <c r="B1691">
        <v>43.0</v>
      </c>
      <c r="C1691">
        <v>38.0</v>
      </c>
      <c r="D1691">
        <v>3.0</v>
      </c>
      <c r="E1691">
        <v>2.821428571428569</v>
      </c>
      <c r="F1691">
        <v>4.0</v>
      </c>
      <c r="G1691">
        <v>7.0</v>
      </c>
      <c r="H1691">
        <v>28.0</v>
      </c>
      <c r="I1691">
        <v>90.0</v>
      </c>
      <c r="J1691">
        <v>285.75</v>
      </c>
      <c r="K1691">
        <v>574.3575</v>
      </c>
      <c r="L1691">
        <v>2.051276785714286</v>
      </c>
      <c r="M1691">
        <v>201.0</v>
      </c>
      <c r="N1691" t="s">
        <v>187</v>
      </c>
      <c r="O1691" t="s">
        <v>2904</v>
      </c>
      <c r="P1691" t="s">
        <v>823</v>
      </c>
    </row>
    <row r="1692" ht="15.75" customHeight="1">
      <c r="A1692">
        <v>1705.0</v>
      </c>
      <c r="B1692">
        <v>118.0</v>
      </c>
      <c r="C1692">
        <v>63.0</v>
      </c>
      <c r="D1692">
        <v>3.0</v>
      </c>
      <c r="E1692">
        <v>3.674999999999997</v>
      </c>
      <c r="F1692">
        <v>2.0</v>
      </c>
      <c r="G1692">
        <v>4.0</v>
      </c>
      <c r="H1692">
        <v>8.0</v>
      </c>
      <c r="I1692">
        <v>84.0</v>
      </c>
      <c r="J1692">
        <v>266.7</v>
      </c>
      <c r="K1692">
        <v>690.753</v>
      </c>
      <c r="L1692">
        <v>8.6344125</v>
      </c>
      <c r="M1692">
        <v>259.0</v>
      </c>
      <c r="N1692" t="s">
        <v>187</v>
      </c>
      <c r="O1692" t="s">
        <v>2905</v>
      </c>
      <c r="P1692" t="s">
        <v>823</v>
      </c>
    </row>
    <row r="1693" ht="15.75" customHeight="1">
      <c r="A1693">
        <v>1706.0</v>
      </c>
      <c r="B1693">
        <v>103.0</v>
      </c>
      <c r="C1693">
        <v>52.0</v>
      </c>
      <c r="D1693">
        <v>3.0</v>
      </c>
      <c r="E1693">
        <v>3.879999999999995</v>
      </c>
      <c r="F1693">
        <v>3.0</v>
      </c>
      <c r="G1693">
        <v>5.0</v>
      </c>
      <c r="H1693">
        <v>15.0</v>
      </c>
      <c r="I1693">
        <v>88.0</v>
      </c>
      <c r="J1693">
        <v>279.4</v>
      </c>
      <c r="K1693">
        <v>935.9899999999999</v>
      </c>
      <c r="L1693">
        <v>6.239933333333332</v>
      </c>
      <c r="M1693">
        <v>335.0</v>
      </c>
      <c r="N1693" t="s">
        <v>187</v>
      </c>
      <c r="O1693" t="s">
        <v>2906</v>
      </c>
      <c r="P1693" t="s">
        <v>823</v>
      </c>
    </row>
    <row r="1694" ht="15.75" customHeight="1">
      <c r="A1694">
        <v>1707.0</v>
      </c>
      <c r="B1694">
        <v>118.0</v>
      </c>
      <c r="C1694">
        <v>55.0</v>
      </c>
      <c r="D1694">
        <v>3.0</v>
      </c>
      <c r="E1694">
        <v>3.208333333333336</v>
      </c>
      <c r="F1694">
        <v>2.0</v>
      </c>
      <c r="G1694">
        <v>6.0</v>
      </c>
      <c r="H1694">
        <v>12.0</v>
      </c>
      <c r="I1694">
        <v>110.0</v>
      </c>
      <c r="J1694">
        <v>349.25</v>
      </c>
      <c r="K1694">
        <v>904.5575</v>
      </c>
      <c r="L1694">
        <v>7.537979166666666</v>
      </c>
      <c r="M1694">
        <v>259.0</v>
      </c>
      <c r="N1694" t="s">
        <v>187</v>
      </c>
      <c r="O1694" t="s">
        <v>2907</v>
      </c>
      <c r="P1694" t="s">
        <v>823</v>
      </c>
    </row>
    <row r="1695" ht="15.75" customHeight="1">
      <c r="A1695">
        <v>1708.0</v>
      </c>
      <c r="B1695">
        <v>139.0</v>
      </c>
      <c r="C1695">
        <v>63.0</v>
      </c>
      <c r="D1695">
        <v>3.0</v>
      </c>
      <c r="E1695">
        <v>3.674999999999997</v>
      </c>
      <c r="F1695">
        <v>2.0</v>
      </c>
      <c r="G1695">
        <v>4.0</v>
      </c>
      <c r="H1695">
        <v>8.0</v>
      </c>
      <c r="I1695">
        <v>84.0</v>
      </c>
      <c r="J1695">
        <v>266.7</v>
      </c>
      <c r="K1695">
        <v>802.7669999999999</v>
      </c>
      <c r="L1695">
        <v>10.0345875</v>
      </c>
      <c r="M1695">
        <v>301.0</v>
      </c>
      <c r="N1695" t="s">
        <v>187</v>
      </c>
      <c r="O1695" t="s">
        <v>2908</v>
      </c>
      <c r="P1695" t="s">
        <v>823</v>
      </c>
    </row>
    <row r="1696" ht="15.75" customHeight="1">
      <c r="A1696">
        <v>1709.0</v>
      </c>
      <c r="B1696">
        <v>214.0</v>
      </c>
      <c r="C1696">
        <v>70.0</v>
      </c>
      <c r="D1696">
        <v>3.0</v>
      </c>
      <c r="E1696">
        <v>6.199999999999989</v>
      </c>
      <c r="F1696">
        <v>1.0</v>
      </c>
      <c r="G1696">
        <v>4.0</v>
      </c>
      <c r="H1696">
        <v>4.0</v>
      </c>
      <c r="I1696">
        <v>96.0</v>
      </c>
      <c r="J1696">
        <v>304.8</v>
      </c>
      <c r="K1696">
        <v>713.2319999999999</v>
      </c>
      <c r="L1696">
        <v>17.8308</v>
      </c>
      <c r="M1696">
        <v>234.0</v>
      </c>
      <c r="N1696" t="s">
        <v>187</v>
      </c>
      <c r="O1696" t="s">
        <v>2909</v>
      </c>
      <c r="P1696" s="126" t="s">
        <v>2910</v>
      </c>
    </row>
    <row r="1697" ht="15.75" customHeight="1">
      <c r="A1697">
        <v>1710.0</v>
      </c>
      <c r="B1697">
        <v>20.0</v>
      </c>
      <c r="C1697">
        <v>73.0</v>
      </c>
      <c r="D1697">
        <v>3.0</v>
      </c>
      <c r="E1697">
        <v>3.199999999999989</v>
      </c>
      <c r="F1697">
        <v>8.0</v>
      </c>
      <c r="G1697">
        <v>4.0</v>
      </c>
      <c r="H1697">
        <v>32.0</v>
      </c>
      <c r="I1697">
        <v>96.0</v>
      </c>
      <c r="J1697">
        <v>304.8</v>
      </c>
      <c r="K1697">
        <v>612.6479999999999</v>
      </c>
      <c r="L1697">
        <v>1.914525</v>
      </c>
      <c r="M1697">
        <v>201.0</v>
      </c>
      <c r="N1697" t="s">
        <v>187</v>
      </c>
      <c r="O1697" t="s">
        <v>2911</v>
      </c>
      <c r="P1697" t="s">
        <v>823</v>
      </c>
    </row>
    <row r="1698" ht="15.75" customHeight="1">
      <c r="A1698">
        <v>1711.0</v>
      </c>
      <c r="B1698">
        <v>133.0</v>
      </c>
      <c r="C1698">
        <v>100.0</v>
      </c>
      <c r="D1698">
        <v>3.0</v>
      </c>
      <c r="E1698">
        <v>3.716666666666654</v>
      </c>
      <c r="F1698">
        <v>2.0</v>
      </c>
      <c r="G1698">
        <v>3.0</v>
      </c>
      <c r="H1698">
        <v>6.0</v>
      </c>
      <c r="I1698">
        <v>98.0</v>
      </c>
      <c r="J1698">
        <v>311.15</v>
      </c>
      <c r="K1698">
        <v>899.2235</v>
      </c>
      <c r="L1698">
        <v>14.98705833333333</v>
      </c>
      <c r="M1698">
        <v>289.0</v>
      </c>
      <c r="N1698" t="s">
        <v>187</v>
      </c>
      <c r="O1698" t="s">
        <v>2912</v>
      </c>
      <c r="P1698" s="126" t="s">
        <v>2826</v>
      </c>
    </row>
    <row r="1699" ht="15.75" customHeight="1">
      <c r="A1699">
        <v>1712.0</v>
      </c>
      <c r="B1699">
        <v>130.0</v>
      </c>
      <c r="C1699">
        <v>130.0</v>
      </c>
      <c r="D1699">
        <v>3.0</v>
      </c>
      <c r="E1699">
        <v>3.349999999999994</v>
      </c>
      <c r="F1699">
        <v>2.0</v>
      </c>
      <c r="G1699">
        <v>3.0</v>
      </c>
      <c r="H1699">
        <v>6.0</v>
      </c>
      <c r="I1699">
        <v>126.0</v>
      </c>
      <c r="J1699">
        <v>400.05</v>
      </c>
      <c r="K1699">
        <v>1132.1415</v>
      </c>
      <c r="L1699">
        <v>18.86902499999999</v>
      </c>
      <c r="M1699">
        <v>283.0</v>
      </c>
      <c r="N1699" t="s">
        <v>187</v>
      </c>
      <c r="O1699" t="s">
        <v>2913</v>
      </c>
      <c r="P1699" t="s">
        <v>823</v>
      </c>
    </row>
    <row r="1700" ht="15.75" customHeight="1">
      <c r="A1700">
        <v>1713.0</v>
      </c>
      <c r="B1700">
        <v>90.0</v>
      </c>
      <c r="C1700">
        <v>180.0</v>
      </c>
      <c r="D1700">
        <v>3.0</v>
      </c>
      <c r="E1700">
        <v>6.266666666666652</v>
      </c>
      <c r="F1700">
        <v>2.0</v>
      </c>
      <c r="G1700">
        <v>3.0</v>
      </c>
      <c r="H1700">
        <v>6.0</v>
      </c>
      <c r="I1700">
        <v>176.0</v>
      </c>
      <c r="J1700">
        <v>558.8</v>
      </c>
      <c r="K1700">
        <v>1134.364</v>
      </c>
      <c r="L1700">
        <v>18.90606666666666</v>
      </c>
      <c r="M1700">
        <v>203.0</v>
      </c>
      <c r="N1700" t="s">
        <v>187</v>
      </c>
      <c r="O1700" t="s">
        <v>2914</v>
      </c>
      <c r="P1700" s="126" t="s">
        <v>2915</v>
      </c>
    </row>
    <row r="1701" ht="15.75" customHeight="1">
      <c r="A1701">
        <v>1714.0</v>
      </c>
      <c r="B1701">
        <v>158.0</v>
      </c>
      <c r="C1701">
        <v>56.0</v>
      </c>
      <c r="D1701">
        <v>3.0</v>
      </c>
      <c r="E1701">
        <v>4.959999999999994</v>
      </c>
      <c r="F1701">
        <v>2.0</v>
      </c>
      <c r="G1701">
        <v>5.0</v>
      </c>
      <c r="H1701">
        <v>10.0</v>
      </c>
      <c r="I1701">
        <v>96.0</v>
      </c>
      <c r="J1701">
        <v>304.8</v>
      </c>
      <c r="K1701">
        <v>1033.272</v>
      </c>
      <c r="L1701">
        <v>10.33272</v>
      </c>
      <c r="M1701">
        <v>339.0</v>
      </c>
      <c r="N1701" t="s">
        <v>187</v>
      </c>
      <c r="O1701" t="s">
        <v>2916</v>
      </c>
      <c r="P1701" s="126" t="s">
        <v>2917</v>
      </c>
    </row>
    <row r="1702" ht="15.75" customHeight="1">
      <c r="A1702">
        <v>1715.0</v>
      </c>
      <c r="B1702">
        <v>25.0</v>
      </c>
      <c r="C1702">
        <v>25.0</v>
      </c>
      <c r="D1702">
        <v>3.0</v>
      </c>
      <c r="E1702">
        <v>2.709090909090904</v>
      </c>
      <c r="F1702">
        <v>8.0</v>
      </c>
      <c r="G1702">
        <v>11.0</v>
      </c>
      <c r="H1702">
        <v>88.0</v>
      </c>
      <c r="I1702">
        <v>96.0</v>
      </c>
      <c r="J1702">
        <v>304.8</v>
      </c>
      <c r="K1702">
        <v>734.5679999999999</v>
      </c>
      <c r="L1702">
        <v>0.8347363636363634</v>
      </c>
      <c r="M1702">
        <v>241.0</v>
      </c>
      <c r="N1702" t="s">
        <v>187</v>
      </c>
      <c r="O1702" t="s">
        <v>2918</v>
      </c>
      <c r="P1702" t="s">
        <v>823</v>
      </c>
    </row>
    <row r="1703" ht="15.75" customHeight="1">
      <c r="A1703">
        <v>1716.0</v>
      </c>
      <c r="B1703">
        <v>30.0</v>
      </c>
      <c r="C1703">
        <v>320.0</v>
      </c>
      <c r="D1703">
        <v>3.0</v>
      </c>
      <c r="E1703">
        <v>3.849999999999966</v>
      </c>
      <c r="F1703">
        <v>8.0</v>
      </c>
      <c r="G1703">
        <v>1.0</v>
      </c>
      <c r="H1703">
        <v>8.0</v>
      </c>
      <c r="I1703">
        <v>102.0</v>
      </c>
      <c r="J1703">
        <v>323.85</v>
      </c>
      <c r="K1703">
        <v>910.0184999999999</v>
      </c>
      <c r="L1703">
        <v>11.37523125</v>
      </c>
      <c r="M1703">
        <v>281.0</v>
      </c>
      <c r="N1703" t="s">
        <v>187</v>
      </c>
      <c r="O1703" t="s">
        <v>2919</v>
      </c>
      <c r="P1703" t="s">
        <v>823</v>
      </c>
    </row>
    <row r="1704" ht="15.75" customHeight="1">
      <c r="A1704">
        <v>1717.0</v>
      </c>
      <c r="B1704">
        <v>140.0</v>
      </c>
      <c r="C1704">
        <v>160.0</v>
      </c>
      <c r="D1704">
        <v>3.0</v>
      </c>
      <c r="E1704">
        <v>6.6875</v>
      </c>
      <c r="F1704">
        <v>2.0</v>
      </c>
      <c r="G1704">
        <v>2.0</v>
      </c>
      <c r="H1704">
        <v>4.0</v>
      </c>
      <c r="I1704">
        <v>105.0</v>
      </c>
      <c r="J1704">
        <v>333.375</v>
      </c>
      <c r="K1704">
        <v>1010.12625</v>
      </c>
      <c r="L1704">
        <v>25.25315625</v>
      </c>
      <c r="M1704">
        <v>303.0</v>
      </c>
      <c r="N1704" t="s">
        <v>187</v>
      </c>
      <c r="O1704" t="s">
        <v>2920</v>
      </c>
      <c r="P1704" t="s">
        <v>823</v>
      </c>
    </row>
    <row r="1705" ht="15.75" customHeight="1">
      <c r="A1705">
        <v>1718.0</v>
      </c>
      <c r="B1705">
        <v>100.0</v>
      </c>
      <c r="C1705">
        <v>50.0</v>
      </c>
      <c r="D1705">
        <v>3.0</v>
      </c>
      <c r="E1705">
        <v>3.339999999999996</v>
      </c>
      <c r="F1705">
        <v>2.0</v>
      </c>
      <c r="G1705">
        <v>5.0</v>
      </c>
      <c r="H1705">
        <v>10.0</v>
      </c>
      <c r="I1705">
        <v>84.0</v>
      </c>
      <c r="J1705">
        <v>266.7</v>
      </c>
      <c r="K1705">
        <v>594.741</v>
      </c>
      <c r="L1705">
        <v>5.94741</v>
      </c>
      <c r="M1705">
        <v>223.0</v>
      </c>
      <c r="N1705" t="s">
        <v>187</v>
      </c>
      <c r="O1705" t="s">
        <v>2921</v>
      </c>
      <c r="P1705" t="s">
        <v>823</v>
      </c>
    </row>
    <row r="1706" ht="15.75" customHeight="1">
      <c r="A1706">
        <v>1719.0</v>
      </c>
      <c r="B1706">
        <v>58.58</v>
      </c>
      <c r="C1706">
        <v>32.15</v>
      </c>
      <c r="D1706">
        <v>3.0</v>
      </c>
      <c r="E1706">
        <v>2.774999999999999</v>
      </c>
      <c r="F1706">
        <v>4.0</v>
      </c>
      <c r="G1706">
        <v>8.0</v>
      </c>
      <c r="H1706">
        <v>32.0</v>
      </c>
      <c r="I1706">
        <v>88.0</v>
      </c>
      <c r="J1706">
        <v>279.4</v>
      </c>
      <c r="K1706">
        <v>735.7160799999999</v>
      </c>
      <c r="L1706">
        <v>2.29911275</v>
      </c>
      <c r="M1706">
        <v>263.32</v>
      </c>
      <c r="N1706" t="s">
        <v>187</v>
      </c>
      <c r="O1706" t="s">
        <v>2922</v>
      </c>
      <c r="P1706" t="s">
        <v>823</v>
      </c>
    </row>
    <row r="1707" ht="15.75" customHeight="1">
      <c r="A1707">
        <v>1720.0</v>
      </c>
      <c r="B1707">
        <v>158.0</v>
      </c>
      <c r="C1707">
        <v>45.0</v>
      </c>
      <c r="D1707">
        <v>3.0</v>
      </c>
      <c r="E1707">
        <v>2.625</v>
      </c>
      <c r="F1707">
        <v>2.0</v>
      </c>
      <c r="G1707">
        <v>7.0</v>
      </c>
      <c r="H1707">
        <v>14.0</v>
      </c>
      <c r="I1707">
        <v>105.0</v>
      </c>
      <c r="J1707">
        <v>333.375</v>
      </c>
      <c r="K1707">
        <v>1130.14125</v>
      </c>
      <c r="L1707">
        <v>8.0724375</v>
      </c>
      <c r="M1707">
        <v>339.0</v>
      </c>
      <c r="N1707" t="s">
        <v>187</v>
      </c>
      <c r="O1707" t="s">
        <v>2923</v>
      </c>
      <c r="P1707" t="s">
        <v>823</v>
      </c>
    </row>
    <row r="1708" ht="15.75" customHeight="1">
      <c r="A1708">
        <v>1721.0</v>
      </c>
      <c r="B1708">
        <v>120.5</v>
      </c>
      <c r="C1708">
        <v>52.0</v>
      </c>
      <c r="D1708">
        <v>3.0</v>
      </c>
      <c r="E1708">
        <v>2.428571428571431</v>
      </c>
      <c r="F1708">
        <v>3.0</v>
      </c>
      <c r="G1708">
        <v>7.0</v>
      </c>
      <c r="H1708">
        <v>21.0</v>
      </c>
      <c r="I1708">
        <v>120.0</v>
      </c>
      <c r="J1708">
        <v>381.0</v>
      </c>
      <c r="K1708">
        <v>1476.375</v>
      </c>
      <c r="L1708">
        <v>7.030357142857143</v>
      </c>
      <c r="M1708">
        <v>387.5</v>
      </c>
      <c r="N1708" t="s">
        <v>187</v>
      </c>
      <c r="O1708" t="s">
        <v>2924</v>
      </c>
      <c r="P1708" t="s">
        <v>823</v>
      </c>
    </row>
    <row r="1709" ht="15.75" customHeight="1">
      <c r="A1709">
        <v>1722.0</v>
      </c>
      <c r="B1709">
        <v>120.5</v>
      </c>
      <c r="C1709">
        <v>52.0</v>
      </c>
      <c r="D1709">
        <v>3.0</v>
      </c>
      <c r="E1709">
        <v>2.428571428571431</v>
      </c>
      <c r="F1709">
        <v>2.0</v>
      </c>
      <c r="G1709">
        <v>7.0</v>
      </c>
      <c r="H1709">
        <v>14.0</v>
      </c>
      <c r="I1709">
        <v>120.0</v>
      </c>
      <c r="J1709">
        <v>381.0</v>
      </c>
      <c r="K1709">
        <v>1005.84</v>
      </c>
      <c r="L1709">
        <v>7.184571428571428</v>
      </c>
      <c r="M1709">
        <v>264.0</v>
      </c>
      <c r="N1709" t="s">
        <v>187</v>
      </c>
      <c r="O1709" t="s">
        <v>2925</v>
      </c>
      <c r="P1709" t="s">
        <v>823</v>
      </c>
    </row>
    <row r="1710" ht="15.75" customHeight="1">
      <c r="A1710">
        <v>1723.0</v>
      </c>
      <c r="B1710">
        <v>140.0</v>
      </c>
      <c r="C1710">
        <v>145.0</v>
      </c>
      <c r="D1710">
        <v>3.0</v>
      </c>
      <c r="E1710">
        <v>7.399999999999977</v>
      </c>
      <c r="F1710">
        <v>2.0</v>
      </c>
      <c r="G1710">
        <v>2.0</v>
      </c>
      <c r="H1710">
        <v>4.0</v>
      </c>
      <c r="I1710">
        <v>96.0</v>
      </c>
      <c r="J1710">
        <v>304.8</v>
      </c>
      <c r="K1710">
        <v>923.5439999999998</v>
      </c>
      <c r="L1710">
        <v>23.0886</v>
      </c>
      <c r="M1710">
        <v>303.0</v>
      </c>
      <c r="N1710" t="s">
        <v>187</v>
      </c>
      <c r="O1710" t="s">
        <v>2926</v>
      </c>
      <c r="P1710" t="s">
        <v>823</v>
      </c>
    </row>
    <row r="1711" ht="15.75" customHeight="1">
      <c r="A1711">
        <v>1724.0</v>
      </c>
      <c r="B1711">
        <v>35.0</v>
      </c>
      <c r="C1711">
        <v>80.0</v>
      </c>
      <c r="D1711">
        <v>3.0</v>
      </c>
      <c r="E1711">
        <v>3.34375</v>
      </c>
      <c r="F1711">
        <v>9.0</v>
      </c>
      <c r="G1711">
        <v>4.0</v>
      </c>
      <c r="H1711">
        <v>36.0</v>
      </c>
      <c r="I1711">
        <v>105.0</v>
      </c>
      <c r="J1711">
        <v>333.375</v>
      </c>
      <c r="K1711">
        <v>1196.81625</v>
      </c>
      <c r="L1711">
        <v>3.324489583333333</v>
      </c>
      <c r="M1711">
        <v>359.0</v>
      </c>
      <c r="N1711" t="s">
        <v>187</v>
      </c>
      <c r="O1711" t="s">
        <v>2927</v>
      </c>
      <c r="P1711" t="s">
        <v>823</v>
      </c>
    </row>
    <row r="1712" ht="15.75" customHeight="1">
      <c r="A1712">
        <v>1725.0</v>
      </c>
      <c r="B1712">
        <v>45.0</v>
      </c>
      <c r="C1712">
        <v>119.0</v>
      </c>
      <c r="D1712">
        <v>3.0</v>
      </c>
      <c r="E1712">
        <v>8.0</v>
      </c>
      <c r="F1712">
        <v>6.0</v>
      </c>
      <c r="G1712">
        <v>3.0</v>
      </c>
      <c r="H1712">
        <v>18.0</v>
      </c>
      <c r="I1712">
        <v>120.0</v>
      </c>
      <c r="J1712">
        <v>381.0</v>
      </c>
      <c r="K1712">
        <v>1162.05</v>
      </c>
      <c r="L1712">
        <v>6.455833333333334</v>
      </c>
      <c r="M1712">
        <v>305.0</v>
      </c>
      <c r="N1712" t="s">
        <v>187</v>
      </c>
      <c r="O1712" t="s">
        <v>2928</v>
      </c>
      <c r="P1712" t="s">
        <v>823</v>
      </c>
    </row>
    <row r="1713" ht="15.75" customHeight="1">
      <c r="A1713">
        <v>1726.0</v>
      </c>
      <c r="B1713">
        <v>60.0</v>
      </c>
      <c r="C1713">
        <v>290.0</v>
      </c>
      <c r="D1713">
        <v>3.0</v>
      </c>
      <c r="E1713">
        <v>14.79999999999995</v>
      </c>
      <c r="F1713">
        <v>5.0</v>
      </c>
      <c r="G1713">
        <v>1.0</v>
      </c>
      <c r="H1713">
        <v>5.0</v>
      </c>
      <c r="I1713">
        <v>96.0</v>
      </c>
      <c r="J1713">
        <v>304.8</v>
      </c>
      <c r="K1713">
        <v>1011.936</v>
      </c>
      <c r="L1713">
        <v>20.23872</v>
      </c>
      <c r="M1713">
        <v>332.0</v>
      </c>
      <c r="N1713" t="s">
        <v>187</v>
      </c>
      <c r="O1713" t="s">
        <v>2929</v>
      </c>
      <c r="P1713" t="s">
        <v>823</v>
      </c>
    </row>
    <row r="1714" ht="15.75" customHeight="1">
      <c r="A1714">
        <v>1727.0</v>
      </c>
      <c r="B1714">
        <v>70.0</v>
      </c>
      <c r="C1714">
        <v>45.0</v>
      </c>
      <c r="D1714">
        <v>3.0</v>
      </c>
      <c r="E1714">
        <v>2.625</v>
      </c>
      <c r="F1714">
        <v>4.0</v>
      </c>
      <c r="G1714">
        <v>7.0</v>
      </c>
      <c r="H1714">
        <v>28.0</v>
      </c>
      <c r="I1714">
        <v>105.0</v>
      </c>
      <c r="J1714">
        <v>333.375</v>
      </c>
      <c r="K1714">
        <v>1030.12875</v>
      </c>
      <c r="L1714">
        <v>3.67903125</v>
      </c>
      <c r="M1714">
        <v>309.0</v>
      </c>
      <c r="N1714" t="s">
        <v>187</v>
      </c>
      <c r="O1714" t="s">
        <v>2930</v>
      </c>
      <c r="P1714" t="s">
        <v>823</v>
      </c>
    </row>
    <row r="1715" ht="15.75" customHeight="1">
      <c r="A1715">
        <v>1728.0</v>
      </c>
      <c r="B1715">
        <v>130.0</v>
      </c>
      <c r="C1715">
        <v>130.0</v>
      </c>
      <c r="D1715">
        <v>3.0</v>
      </c>
      <c r="E1715">
        <v>3.349999999999994</v>
      </c>
      <c r="F1715">
        <v>2.0</v>
      </c>
      <c r="G1715">
        <v>2.0</v>
      </c>
      <c r="H1715">
        <v>4.0</v>
      </c>
      <c r="I1715">
        <v>84.0</v>
      </c>
      <c r="J1715">
        <v>266.7</v>
      </c>
      <c r="K1715">
        <v>754.761</v>
      </c>
      <c r="L1715">
        <v>18.869025</v>
      </c>
      <c r="M1715">
        <v>283.0</v>
      </c>
      <c r="N1715" t="s">
        <v>187</v>
      </c>
      <c r="O1715" t="s">
        <v>2931</v>
      </c>
      <c r="P1715" t="s">
        <v>823</v>
      </c>
    </row>
    <row r="1716" ht="15.75" customHeight="1">
      <c r="A1716">
        <v>1729.0</v>
      </c>
      <c r="B1716">
        <v>150.0</v>
      </c>
      <c r="C1716">
        <v>180.0</v>
      </c>
      <c r="D1716">
        <v>3.0</v>
      </c>
      <c r="E1716">
        <v>10.5</v>
      </c>
      <c r="F1716">
        <v>2.0</v>
      </c>
      <c r="G1716">
        <v>2.0</v>
      </c>
      <c r="H1716">
        <v>4.0</v>
      </c>
      <c r="I1716">
        <v>120.0</v>
      </c>
      <c r="J1716">
        <v>381.0</v>
      </c>
      <c r="K1716">
        <v>1230.63</v>
      </c>
      <c r="L1716">
        <v>30.76575</v>
      </c>
      <c r="M1716">
        <v>323.0</v>
      </c>
      <c r="N1716" t="s">
        <v>187</v>
      </c>
      <c r="O1716" t="s">
        <v>2932</v>
      </c>
      <c r="P1716" t="s">
        <v>823</v>
      </c>
    </row>
    <row r="1717" ht="15.75" customHeight="1">
      <c r="A1717">
        <v>1730.0</v>
      </c>
      <c r="B1717">
        <v>30.0</v>
      </c>
      <c r="C1717">
        <v>50.0</v>
      </c>
      <c r="D1717">
        <v>3.0</v>
      </c>
      <c r="E1717">
        <v>3.339999999999996</v>
      </c>
      <c r="F1717">
        <v>8.0</v>
      </c>
      <c r="G1717">
        <v>5.0</v>
      </c>
      <c r="H1717">
        <v>40.0</v>
      </c>
      <c r="I1717">
        <v>84.0</v>
      </c>
      <c r="J1717">
        <v>266.7</v>
      </c>
      <c r="K1717">
        <v>749.427</v>
      </c>
      <c r="L1717">
        <v>1.8735675</v>
      </c>
      <c r="M1717">
        <v>281.0</v>
      </c>
      <c r="N1717" t="s">
        <v>187</v>
      </c>
      <c r="O1717" t="s">
        <v>2933</v>
      </c>
      <c r="P1717" t="s">
        <v>823</v>
      </c>
    </row>
    <row r="1718" ht="15.75" customHeight="1">
      <c r="A1718">
        <v>1731.0</v>
      </c>
      <c r="B1718">
        <v>85.0</v>
      </c>
      <c r="C1718">
        <v>55.0</v>
      </c>
      <c r="D1718">
        <v>3.0</v>
      </c>
      <c r="E1718">
        <v>3.208333333333336</v>
      </c>
      <c r="F1718">
        <v>2.0</v>
      </c>
      <c r="G1718">
        <v>6.0</v>
      </c>
      <c r="H1718">
        <v>12.0</v>
      </c>
      <c r="I1718">
        <v>110.0</v>
      </c>
      <c r="J1718">
        <v>349.25</v>
      </c>
      <c r="K1718">
        <v>674.0525</v>
      </c>
      <c r="L1718">
        <v>5.617104166666666</v>
      </c>
      <c r="M1718">
        <v>193.0</v>
      </c>
      <c r="N1718" t="s">
        <v>187</v>
      </c>
      <c r="O1718" t="s">
        <v>2934</v>
      </c>
      <c r="P1718" s="126" t="s">
        <v>2837</v>
      </c>
    </row>
    <row r="1719" ht="15.75" customHeight="1">
      <c r="A1719">
        <v>1732.0</v>
      </c>
      <c r="B1719">
        <v>32.0</v>
      </c>
      <c r="C1719">
        <v>90.0</v>
      </c>
      <c r="D1719">
        <v>3.0</v>
      </c>
      <c r="E1719">
        <v>3.133333333333326</v>
      </c>
      <c r="F1719">
        <v>6.0</v>
      </c>
      <c r="G1719">
        <v>3.0</v>
      </c>
      <c r="H1719">
        <v>18.0</v>
      </c>
      <c r="I1719">
        <v>88.0</v>
      </c>
      <c r="J1719">
        <v>279.4</v>
      </c>
      <c r="K1719">
        <v>634.2379999999999</v>
      </c>
      <c r="L1719">
        <v>3.523544444444444</v>
      </c>
      <c r="M1719">
        <v>227.0</v>
      </c>
      <c r="N1719" t="s">
        <v>187</v>
      </c>
      <c r="O1719" t="s">
        <v>2935</v>
      </c>
      <c r="P1719" t="s">
        <v>823</v>
      </c>
    </row>
    <row r="1720" ht="15.75" customHeight="1">
      <c r="A1720">
        <v>1733.0</v>
      </c>
      <c r="B1720">
        <v>70.0</v>
      </c>
      <c r="C1720">
        <v>80.0</v>
      </c>
      <c r="D1720">
        <v>3.0</v>
      </c>
      <c r="E1720">
        <v>3.34375</v>
      </c>
      <c r="F1720">
        <v>4.0</v>
      </c>
      <c r="G1720">
        <v>4.0</v>
      </c>
      <c r="H1720">
        <v>16.0</v>
      </c>
      <c r="I1720">
        <v>105.0</v>
      </c>
      <c r="J1720">
        <v>333.375</v>
      </c>
      <c r="K1720">
        <v>1030.12875</v>
      </c>
      <c r="L1720">
        <v>6.4383046875</v>
      </c>
      <c r="M1720">
        <v>309.0</v>
      </c>
      <c r="N1720" t="s">
        <v>187</v>
      </c>
      <c r="O1720" t="s">
        <v>2936</v>
      </c>
      <c r="P1720" t="s">
        <v>823</v>
      </c>
    </row>
    <row r="1721" ht="15.75" customHeight="1">
      <c r="A1721">
        <v>1734.0</v>
      </c>
      <c r="B1721">
        <v>60.0</v>
      </c>
      <c r="C1721">
        <v>47.0</v>
      </c>
      <c r="D1721">
        <v>3.0</v>
      </c>
      <c r="E1721">
        <v>3.79999999999999</v>
      </c>
      <c r="F1721">
        <v>4.0</v>
      </c>
      <c r="G1721">
        <v>6.0</v>
      </c>
      <c r="H1721">
        <v>24.0</v>
      </c>
      <c r="I1721">
        <v>96.0</v>
      </c>
      <c r="J1721">
        <v>304.8</v>
      </c>
      <c r="K1721">
        <v>819.9119999999998</v>
      </c>
      <c r="L1721">
        <v>3.416299999999999</v>
      </c>
      <c r="M1721">
        <v>269.0</v>
      </c>
      <c r="N1721" t="s">
        <v>187</v>
      </c>
      <c r="O1721" t="s">
        <v>2937</v>
      </c>
      <c r="P1721" t="s">
        <v>823</v>
      </c>
    </row>
    <row r="1722" ht="15.75" customHeight="1">
      <c r="A1722">
        <v>1735.0</v>
      </c>
      <c r="B1722">
        <v>89.0</v>
      </c>
      <c r="C1722">
        <v>39.0</v>
      </c>
      <c r="D1722">
        <v>3.0</v>
      </c>
      <c r="E1722">
        <v>3.333333333333336</v>
      </c>
      <c r="F1722">
        <v>2.0</v>
      </c>
      <c r="G1722">
        <v>9.0</v>
      </c>
      <c r="H1722">
        <v>18.0</v>
      </c>
      <c r="I1722">
        <v>120.0</v>
      </c>
      <c r="J1722">
        <v>381.0</v>
      </c>
      <c r="K1722">
        <v>765.81</v>
      </c>
      <c r="L1722">
        <v>4.2545</v>
      </c>
      <c r="M1722">
        <v>201.0</v>
      </c>
      <c r="N1722" t="s">
        <v>187</v>
      </c>
      <c r="O1722" t="s">
        <v>2938</v>
      </c>
      <c r="P1722" t="s">
        <v>823</v>
      </c>
    </row>
    <row r="1723" ht="15.75" customHeight="1">
      <c r="A1723">
        <v>1736.0</v>
      </c>
      <c r="B1723">
        <v>165.0</v>
      </c>
      <c r="C1723">
        <v>185.0</v>
      </c>
      <c r="D1723">
        <v>3.0</v>
      </c>
      <c r="E1723">
        <v>5.5</v>
      </c>
      <c r="F1723">
        <v>2.0</v>
      </c>
      <c r="G1723">
        <v>2.0</v>
      </c>
      <c r="H1723">
        <v>4.0</v>
      </c>
      <c r="I1723">
        <v>120.0</v>
      </c>
      <c r="J1723">
        <v>381.0</v>
      </c>
      <c r="K1723">
        <v>1344.93</v>
      </c>
      <c r="L1723">
        <v>33.62325</v>
      </c>
      <c r="M1723">
        <v>353.0</v>
      </c>
      <c r="N1723" t="s">
        <v>187</v>
      </c>
      <c r="O1723" t="s">
        <v>2939</v>
      </c>
      <c r="P1723" t="s">
        <v>823</v>
      </c>
    </row>
    <row r="1724" ht="15.75" customHeight="1">
      <c r="A1724">
        <v>1737.0</v>
      </c>
      <c r="B1724">
        <v>150.0</v>
      </c>
      <c r="C1724">
        <v>147.0</v>
      </c>
      <c r="D1724">
        <v>3.0</v>
      </c>
      <c r="E1724">
        <v>5.399999999999977</v>
      </c>
      <c r="F1724">
        <v>2.0</v>
      </c>
      <c r="G1724">
        <v>2.0</v>
      </c>
      <c r="H1724">
        <v>4.0</v>
      </c>
      <c r="I1724">
        <v>96.0</v>
      </c>
      <c r="J1724">
        <v>304.8</v>
      </c>
      <c r="K1724">
        <v>984.5039999999998</v>
      </c>
      <c r="L1724">
        <v>24.61259999999999</v>
      </c>
      <c r="M1724">
        <v>323.0</v>
      </c>
      <c r="N1724" t="s">
        <v>187</v>
      </c>
      <c r="O1724" t="s">
        <v>2940</v>
      </c>
      <c r="P1724" t="s">
        <v>823</v>
      </c>
    </row>
    <row r="1725" ht="15.75" customHeight="1">
      <c r="A1725">
        <v>1739.0</v>
      </c>
      <c r="B1725">
        <v>170.0</v>
      </c>
      <c r="C1725">
        <v>55.0</v>
      </c>
      <c r="D1725">
        <v>3.0</v>
      </c>
      <c r="E1725">
        <v>5.959999999999994</v>
      </c>
      <c r="F1725">
        <v>2.0</v>
      </c>
      <c r="G1725">
        <v>5.0</v>
      </c>
      <c r="H1725">
        <v>10.0</v>
      </c>
      <c r="I1725">
        <v>96.0</v>
      </c>
      <c r="J1725">
        <v>304.8</v>
      </c>
      <c r="K1725">
        <v>1106.424</v>
      </c>
      <c r="L1725">
        <v>11.06424</v>
      </c>
      <c r="M1725">
        <v>363.0</v>
      </c>
      <c r="N1725" t="s">
        <v>187</v>
      </c>
      <c r="O1725" t="s">
        <v>2941</v>
      </c>
      <c r="P1725" t="s">
        <v>823</v>
      </c>
    </row>
    <row r="1726" ht="15.75" customHeight="1">
      <c r="A1726">
        <v>1740.0</v>
      </c>
      <c r="B1726">
        <v>105.0</v>
      </c>
      <c r="C1726">
        <v>95.0</v>
      </c>
      <c r="D1726">
        <v>3.0</v>
      </c>
      <c r="E1726">
        <v>6.59999999999998</v>
      </c>
      <c r="F1726">
        <v>2.0</v>
      </c>
      <c r="G1726">
        <v>3.0</v>
      </c>
      <c r="H1726">
        <v>6.0</v>
      </c>
      <c r="I1726">
        <v>96.0</v>
      </c>
      <c r="J1726">
        <v>304.8</v>
      </c>
      <c r="K1726">
        <v>710.184</v>
      </c>
      <c r="L1726">
        <v>11.8364</v>
      </c>
      <c r="M1726">
        <v>233.0</v>
      </c>
      <c r="N1726" t="s">
        <v>187</v>
      </c>
      <c r="O1726" t="s">
        <v>2942</v>
      </c>
      <c r="P1726" t="s">
        <v>823</v>
      </c>
    </row>
    <row r="1727" ht="15.75" customHeight="1">
      <c r="A1727">
        <v>1741.0</v>
      </c>
      <c r="B1727">
        <v>70.0</v>
      </c>
      <c r="C1727">
        <v>80.0</v>
      </c>
      <c r="D1727">
        <v>3.0</v>
      </c>
      <c r="E1727">
        <v>3.34375</v>
      </c>
      <c r="F1727">
        <v>4.0</v>
      </c>
      <c r="G1727">
        <v>4.0</v>
      </c>
      <c r="H1727">
        <v>16.0</v>
      </c>
      <c r="I1727">
        <v>105.0</v>
      </c>
      <c r="J1727">
        <v>333.375</v>
      </c>
      <c r="K1727">
        <v>1030.12875</v>
      </c>
      <c r="L1727">
        <v>6.4383046875</v>
      </c>
      <c r="M1727">
        <v>309.0</v>
      </c>
      <c r="N1727" t="s">
        <v>187</v>
      </c>
      <c r="O1727" t="s">
        <v>2943</v>
      </c>
      <c r="P1727" t="s">
        <v>823</v>
      </c>
    </row>
    <row r="1728" ht="15.75" customHeight="1">
      <c r="A1728">
        <v>1742.0</v>
      </c>
      <c r="B1728">
        <v>196.0</v>
      </c>
      <c r="C1728">
        <v>149.0</v>
      </c>
      <c r="D1728">
        <v>3.0</v>
      </c>
      <c r="E1728">
        <v>3.399999999999977</v>
      </c>
      <c r="F1728">
        <v>1.0</v>
      </c>
      <c r="G1728">
        <v>2.0</v>
      </c>
      <c r="H1728">
        <v>2.0</v>
      </c>
      <c r="I1728">
        <v>96.0</v>
      </c>
      <c r="J1728">
        <v>304.8</v>
      </c>
      <c r="K1728">
        <v>658.3679999999999</v>
      </c>
      <c r="L1728">
        <v>32.91839999999999</v>
      </c>
      <c r="M1728">
        <v>216.0</v>
      </c>
      <c r="N1728" t="s">
        <v>187</v>
      </c>
      <c r="O1728" t="s">
        <v>2944</v>
      </c>
      <c r="P1728" t="s">
        <v>823</v>
      </c>
    </row>
    <row r="1729" ht="15.75" customHeight="1">
      <c r="A1729">
        <v>1743.0</v>
      </c>
      <c r="B1729">
        <v>196.0</v>
      </c>
      <c r="C1729">
        <v>149.0</v>
      </c>
      <c r="D1729">
        <v>3.0</v>
      </c>
      <c r="E1729">
        <v>3.399999999999977</v>
      </c>
      <c r="F1729">
        <v>1.0</v>
      </c>
      <c r="G1729">
        <v>2.0</v>
      </c>
      <c r="H1729">
        <v>2.0</v>
      </c>
      <c r="I1729">
        <v>96.0</v>
      </c>
      <c r="J1729">
        <v>304.8</v>
      </c>
      <c r="K1729">
        <v>658.3679999999999</v>
      </c>
      <c r="L1729">
        <v>32.91839999999999</v>
      </c>
      <c r="M1729">
        <v>216.0</v>
      </c>
      <c r="N1729" t="s">
        <v>187</v>
      </c>
      <c r="O1729" t="s">
        <v>2945</v>
      </c>
      <c r="P1729" t="s">
        <v>823</v>
      </c>
    </row>
    <row r="1730" ht="15.75" customHeight="1">
      <c r="A1730">
        <v>1744.0</v>
      </c>
      <c r="B1730">
        <v>87.0</v>
      </c>
      <c r="C1730">
        <v>108.0</v>
      </c>
      <c r="D1730">
        <v>3.0</v>
      </c>
      <c r="E1730">
        <v>3.125</v>
      </c>
      <c r="F1730">
        <v>3.0</v>
      </c>
      <c r="G1730">
        <v>3.0</v>
      </c>
      <c r="H1730">
        <v>9.0</v>
      </c>
      <c r="I1730">
        <v>105.0</v>
      </c>
      <c r="J1730">
        <v>333.375</v>
      </c>
      <c r="K1730">
        <v>956.78625</v>
      </c>
      <c r="L1730">
        <v>10.63095833333333</v>
      </c>
      <c r="M1730">
        <v>287.0</v>
      </c>
      <c r="N1730" t="s">
        <v>187</v>
      </c>
      <c r="O1730" t="s">
        <v>2946</v>
      </c>
      <c r="P1730" t="s">
        <v>823</v>
      </c>
    </row>
    <row r="1731" ht="15.75" customHeight="1">
      <c r="A1731">
        <v>1745.0</v>
      </c>
      <c r="B1731">
        <v>189.0</v>
      </c>
      <c r="C1731">
        <v>135.0</v>
      </c>
      <c r="D1731">
        <v>5.0</v>
      </c>
      <c r="E1731">
        <v>4.699999999999989</v>
      </c>
      <c r="F1731">
        <v>2.0</v>
      </c>
      <c r="G1731">
        <v>4.0</v>
      </c>
      <c r="H1731">
        <v>8.0</v>
      </c>
      <c r="I1731">
        <v>176.0</v>
      </c>
      <c r="J1731">
        <v>558.8</v>
      </c>
      <c r="K1731">
        <v>2263.14</v>
      </c>
      <c r="L1731">
        <v>28.28925</v>
      </c>
      <c r="M1731">
        <v>405.0</v>
      </c>
      <c r="N1731" t="s">
        <v>182</v>
      </c>
      <c r="O1731" t="s">
        <v>2947</v>
      </c>
      <c r="P1731" s="126" t="s">
        <v>2948</v>
      </c>
    </row>
    <row r="1732" ht="15.75" customHeight="1">
      <c r="A1732">
        <v>1746.0</v>
      </c>
      <c r="B1732">
        <v>20.0</v>
      </c>
      <c r="C1732">
        <v>92.0</v>
      </c>
      <c r="D1732">
        <v>3.0</v>
      </c>
      <c r="E1732">
        <v>3.25</v>
      </c>
      <c r="F1732">
        <v>12.0</v>
      </c>
      <c r="G1732">
        <v>4.0</v>
      </c>
      <c r="H1732">
        <v>48.0</v>
      </c>
      <c r="I1732">
        <v>120.0</v>
      </c>
      <c r="J1732">
        <v>381.0</v>
      </c>
      <c r="K1732">
        <v>1116.33</v>
      </c>
      <c r="L1732">
        <v>2.3256875</v>
      </c>
      <c r="M1732">
        <v>293.0</v>
      </c>
      <c r="N1732" t="s">
        <v>187</v>
      </c>
      <c r="O1732" t="s">
        <v>2949</v>
      </c>
      <c r="P1732" t="s">
        <v>823</v>
      </c>
    </row>
    <row r="1733" ht="15.75" customHeight="1">
      <c r="A1733">
        <v>1747.0</v>
      </c>
      <c r="B1733">
        <v>150.0</v>
      </c>
      <c r="C1733">
        <v>102.0</v>
      </c>
      <c r="D1733">
        <v>3.0</v>
      </c>
      <c r="E1733">
        <v>5.949999999999989</v>
      </c>
      <c r="F1733">
        <v>2.0</v>
      </c>
      <c r="G1733">
        <v>3.0</v>
      </c>
      <c r="H1733">
        <v>6.0</v>
      </c>
      <c r="I1733">
        <v>102.0</v>
      </c>
      <c r="J1733">
        <v>323.85</v>
      </c>
      <c r="K1733">
        <v>1046.0355</v>
      </c>
      <c r="L1733">
        <v>17.433925</v>
      </c>
      <c r="M1733">
        <v>323.0</v>
      </c>
      <c r="N1733" t="s">
        <v>187</v>
      </c>
      <c r="O1733" t="s">
        <v>2950</v>
      </c>
      <c r="P1733" s="126" t="s">
        <v>2826</v>
      </c>
    </row>
    <row r="1734" ht="15.75" customHeight="1">
      <c r="A1734">
        <v>1748.0</v>
      </c>
      <c r="B1734">
        <v>36.0</v>
      </c>
      <c r="C1734">
        <v>111.8</v>
      </c>
      <c r="D1734">
        <v>3.0</v>
      </c>
      <c r="E1734">
        <v>2.5</v>
      </c>
      <c r="F1734">
        <v>8.0</v>
      </c>
      <c r="G1734">
        <v>3.0</v>
      </c>
      <c r="H1734">
        <v>24.0</v>
      </c>
      <c r="I1734">
        <v>108.0</v>
      </c>
      <c r="J1734">
        <v>342.9</v>
      </c>
      <c r="K1734">
        <v>1128.141</v>
      </c>
      <c r="L1734">
        <v>4.700587499999999</v>
      </c>
      <c r="M1734">
        <v>329.0</v>
      </c>
      <c r="N1734" t="s">
        <v>187</v>
      </c>
      <c r="O1734" t="s">
        <v>2951</v>
      </c>
      <c r="P1734" t="s">
        <v>823</v>
      </c>
    </row>
    <row r="1735" ht="15.75" customHeight="1">
      <c r="A1735">
        <v>1749.0</v>
      </c>
      <c r="B1735">
        <v>64.0</v>
      </c>
      <c r="C1735">
        <v>108.0</v>
      </c>
      <c r="D1735">
        <v>3.0</v>
      </c>
      <c r="E1735">
        <v>3.125</v>
      </c>
      <c r="F1735">
        <v>4.0</v>
      </c>
      <c r="G1735">
        <v>3.0</v>
      </c>
      <c r="H1735">
        <v>12.0</v>
      </c>
      <c r="I1735">
        <v>105.0</v>
      </c>
      <c r="J1735">
        <v>333.375</v>
      </c>
      <c r="K1735">
        <v>950.11875</v>
      </c>
      <c r="L1735">
        <v>7.917656249999999</v>
      </c>
      <c r="M1735">
        <v>285.0</v>
      </c>
      <c r="N1735" t="s">
        <v>187</v>
      </c>
      <c r="O1735" t="s">
        <v>2952</v>
      </c>
      <c r="P1735" t="s">
        <v>823</v>
      </c>
    </row>
    <row r="1736" ht="15.75" customHeight="1">
      <c r="A1736">
        <v>1750.0</v>
      </c>
      <c r="B1736">
        <v>131.0</v>
      </c>
      <c r="C1736">
        <v>146.0</v>
      </c>
      <c r="D1736">
        <v>3.0</v>
      </c>
      <c r="E1736">
        <v>6.399999999999977</v>
      </c>
      <c r="F1736">
        <v>2.0</v>
      </c>
      <c r="G1736">
        <v>2.0</v>
      </c>
      <c r="H1736">
        <v>4.0</v>
      </c>
      <c r="I1736">
        <v>96.0</v>
      </c>
      <c r="J1736">
        <v>304.8</v>
      </c>
      <c r="K1736">
        <v>868.6799999999998</v>
      </c>
      <c r="L1736">
        <v>21.717</v>
      </c>
      <c r="M1736">
        <v>285.0</v>
      </c>
      <c r="N1736" t="s">
        <v>187</v>
      </c>
      <c r="O1736" t="s">
        <v>2953</v>
      </c>
      <c r="P1736" t="s">
        <v>823</v>
      </c>
    </row>
    <row r="1737" ht="15.75" customHeight="1">
      <c r="A1737">
        <v>1751.0</v>
      </c>
      <c r="B1737">
        <v>97.0</v>
      </c>
      <c r="C1737">
        <v>197.0</v>
      </c>
      <c r="D1737">
        <v>3.0</v>
      </c>
      <c r="E1737">
        <v>3.024999999999977</v>
      </c>
      <c r="F1737">
        <v>3.0</v>
      </c>
      <c r="G1737">
        <v>2.0</v>
      </c>
      <c r="H1737">
        <v>6.0</v>
      </c>
      <c r="I1737">
        <v>126.0</v>
      </c>
      <c r="J1737">
        <v>400.05</v>
      </c>
      <c r="K1737">
        <v>1268.1585</v>
      </c>
      <c r="L1737">
        <v>21.13597499999999</v>
      </c>
      <c r="M1737">
        <v>317.0</v>
      </c>
      <c r="N1737" t="s">
        <v>187</v>
      </c>
      <c r="O1737" t="s">
        <v>2954</v>
      </c>
      <c r="P1737" t="s">
        <v>2955</v>
      </c>
    </row>
    <row r="1738" ht="15.75" customHeight="1">
      <c r="A1738">
        <v>16.0</v>
      </c>
      <c r="B1738">
        <v>98.0</v>
      </c>
      <c r="C1738">
        <v>120.0</v>
      </c>
      <c r="D1738">
        <v>3.0</v>
      </c>
      <c r="E1738">
        <v>7.0</v>
      </c>
      <c r="F1738">
        <v>2.0</v>
      </c>
      <c r="G1738">
        <v>3.0</v>
      </c>
      <c r="H1738">
        <v>6.0</v>
      </c>
      <c r="I1738">
        <v>120.0</v>
      </c>
      <c r="J1738">
        <v>381.0</v>
      </c>
      <c r="K1738">
        <v>834.39</v>
      </c>
      <c r="L1738">
        <v>13.9065</v>
      </c>
      <c r="M1738">
        <v>219.0</v>
      </c>
      <c r="N1738" t="s">
        <v>187</v>
      </c>
      <c r="O1738" t="s">
        <v>2956</v>
      </c>
      <c r="P1738" t="s">
        <v>823</v>
      </c>
    </row>
    <row r="1739" ht="15.75" customHeight="1">
      <c r="A1739">
        <v>1753.0</v>
      </c>
      <c r="B1739">
        <v>55.0</v>
      </c>
      <c r="C1739">
        <v>232.0</v>
      </c>
      <c r="D1739">
        <v>3.0</v>
      </c>
      <c r="E1739">
        <v>2.949999999999989</v>
      </c>
      <c r="F1739">
        <v>4.0</v>
      </c>
      <c r="G1739">
        <v>2.0</v>
      </c>
      <c r="H1739">
        <v>8.0</v>
      </c>
      <c r="I1739">
        <v>148.0</v>
      </c>
      <c r="J1739">
        <v>469.9</v>
      </c>
      <c r="K1739">
        <v>1170.051</v>
      </c>
      <c r="L1739">
        <v>14.6256375</v>
      </c>
      <c r="M1739">
        <v>249.0</v>
      </c>
      <c r="N1739" t="s">
        <v>187</v>
      </c>
      <c r="O1739" t="s">
        <v>2957</v>
      </c>
      <c r="P1739" t="s">
        <v>823</v>
      </c>
    </row>
    <row r="1740" ht="15.75" customHeight="1">
      <c r="A1740">
        <v>1754.0</v>
      </c>
      <c r="B1740">
        <v>102.0</v>
      </c>
      <c r="C1740">
        <v>195.0</v>
      </c>
      <c r="D1740">
        <v>3.0</v>
      </c>
      <c r="E1740">
        <v>5.024999999999977</v>
      </c>
      <c r="F1740">
        <v>3.0</v>
      </c>
      <c r="G1740">
        <v>2.0</v>
      </c>
      <c r="H1740">
        <v>6.0</v>
      </c>
      <c r="I1740">
        <v>126.0</v>
      </c>
      <c r="J1740">
        <v>400.05</v>
      </c>
      <c r="K1740">
        <v>1328.166</v>
      </c>
      <c r="L1740">
        <v>22.1361</v>
      </c>
      <c r="M1740">
        <v>332.0</v>
      </c>
      <c r="N1740" t="s">
        <v>187</v>
      </c>
      <c r="O1740" t="s">
        <v>2958</v>
      </c>
      <c r="P1740" t="s">
        <v>823</v>
      </c>
    </row>
    <row r="1741" ht="15.75" customHeight="1">
      <c r="A1741">
        <v>1755.0</v>
      </c>
      <c r="B1741">
        <v>148.0</v>
      </c>
      <c r="C1741">
        <v>88.0</v>
      </c>
      <c r="D1741">
        <v>3.0</v>
      </c>
      <c r="E1741">
        <v>3.016666666666666</v>
      </c>
      <c r="F1741">
        <v>2.0</v>
      </c>
      <c r="G1741">
        <v>3.0</v>
      </c>
      <c r="H1741">
        <v>6.0</v>
      </c>
      <c r="I1741">
        <v>86.0</v>
      </c>
      <c r="J1741">
        <v>273.05</v>
      </c>
      <c r="K1741">
        <v>871.0295</v>
      </c>
      <c r="L1741">
        <v>14.51715833333333</v>
      </c>
      <c r="M1741">
        <v>319.0</v>
      </c>
      <c r="N1741" t="s">
        <v>187</v>
      </c>
      <c r="O1741" t="s">
        <v>2959</v>
      </c>
      <c r="P1741" t="s">
        <v>823</v>
      </c>
    </row>
    <row r="1742" ht="15.75" customHeight="1">
      <c r="A1742">
        <v>1756.0</v>
      </c>
      <c r="B1742">
        <v>148.0</v>
      </c>
      <c r="C1742">
        <v>88.0</v>
      </c>
      <c r="D1742">
        <v>3.0</v>
      </c>
      <c r="E1742">
        <v>3.016666666666666</v>
      </c>
      <c r="F1742">
        <v>2.0</v>
      </c>
      <c r="G1742">
        <v>3.0</v>
      </c>
      <c r="H1742">
        <v>6.0</v>
      </c>
      <c r="I1742">
        <v>86.0</v>
      </c>
      <c r="J1742">
        <v>273.05</v>
      </c>
      <c r="K1742">
        <v>871.0295</v>
      </c>
      <c r="L1742">
        <v>14.51715833333333</v>
      </c>
      <c r="M1742">
        <v>319.0</v>
      </c>
      <c r="N1742" t="s">
        <v>187</v>
      </c>
      <c r="O1742" t="s">
        <v>2960</v>
      </c>
      <c r="P1742" t="s">
        <v>823</v>
      </c>
    </row>
    <row r="1743" ht="15.75" customHeight="1">
      <c r="A1743">
        <v>1757.0</v>
      </c>
      <c r="B1743">
        <v>222.0</v>
      </c>
      <c r="C1743">
        <v>184.0</v>
      </c>
      <c r="D1743">
        <v>3.0</v>
      </c>
      <c r="E1743">
        <v>6.5</v>
      </c>
      <c r="F1743">
        <v>1.0</v>
      </c>
      <c r="G1743">
        <v>2.0</v>
      </c>
      <c r="H1743">
        <v>2.0</v>
      </c>
      <c r="I1743">
        <v>120.0</v>
      </c>
      <c r="J1743">
        <v>381.0</v>
      </c>
      <c r="K1743">
        <v>922.02</v>
      </c>
      <c r="L1743">
        <v>46.101</v>
      </c>
      <c r="M1743">
        <v>242.0</v>
      </c>
      <c r="N1743" t="s">
        <v>187</v>
      </c>
      <c r="O1743" t="s">
        <v>2961</v>
      </c>
      <c r="P1743" t="s">
        <v>823</v>
      </c>
    </row>
    <row r="1744" ht="15.75" customHeight="1">
      <c r="A1744">
        <v>1758.0</v>
      </c>
      <c r="B1744">
        <v>222.0</v>
      </c>
      <c r="C1744">
        <v>184.0</v>
      </c>
      <c r="D1744">
        <v>3.0</v>
      </c>
      <c r="E1744">
        <v>6.5</v>
      </c>
      <c r="F1744">
        <v>1.0</v>
      </c>
      <c r="G1744">
        <v>2.0</v>
      </c>
      <c r="H1744">
        <v>2.0</v>
      </c>
      <c r="I1744">
        <v>120.0</v>
      </c>
      <c r="J1744">
        <v>381.0</v>
      </c>
      <c r="K1744">
        <v>922.02</v>
      </c>
      <c r="L1744">
        <v>46.101</v>
      </c>
      <c r="M1744">
        <v>242.0</v>
      </c>
      <c r="N1744" t="s">
        <v>187</v>
      </c>
      <c r="O1744" t="s">
        <v>2962</v>
      </c>
      <c r="P1744" t="s">
        <v>823</v>
      </c>
    </row>
    <row r="1745" ht="15.75" customHeight="1">
      <c r="A1745">
        <v>1759.0</v>
      </c>
      <c r="B1745">
        <v>180.0</v>
      </c>
      <c r="C1745">
        <v>95.0</v>
      </c>
      <c r="D1745">
        <v>3.0</v>
      </c>
      <c r="E1745">
        <v>6.59999999999998</v>
      </c>
      <c r="F1745">
        <v>1.0</v>
      </c>
      <c r="G1745">
        <v>3.0</v>
      </c>
      <c r="H1745">
        <v>3.0</v>
      </c>
      <c r="I1745">
        <v>96.0</v>
      </c>
      <c r="J1745">
        <v>304.8</v>
      </c>
      <c r="K1745">
        <v>609.5999999999999</v>
      </c>
      <c r="L1745">
        <v>20.32</v>
      </c>
      <c r="M1745">
        <v>200.0</v>
      </c>
      <c r="N1745" t="s">
        <v>187</v>
      </c>
      <c r="O1745" t="s">
        <v>2963</v>
      </c>
      <c r="P1745" t="s">
        <v>823</v>
      </c>
    </row>
    <row r="1746" ht="15.75" customHeight="1">
      <c r="A1746">
        <v>1760.0</v>
      </c>
      <c r="B1746">
        <v>50.0</v>
      </c>
      <c r="C1746">
        <v>25.0</v>
      </c>
      <c r="D1746">
        <v>3.0</v>
      </c>
      <c r="E1746">
        <v>4.440909090909088</v>
      </c>
      <c r="F1746">
        <v>3.0</v>
      </c>
      <c r="G1746">
        <v>11.0</v>
      </c>
      <c r="H1746">
        <v>33.0</v>
      </c>
      <c r="I1746">
        <v>102.0</v>
      </c>
      <c r="J1746">
        <v>323.85</v>
      </c>
      <c r="K1746">
        <v>569.9759999999999</v>
      </c>
      <c r="L1746">
        <v>1.7272</v>
      </c>
      <c r="M1746">
        <v>176.0</v>
      </c>
      <c r="N1746" t="s">
        <v>187</v>
      </c>
      <c r="O1746" t="s">
        <v>2964</v>
      </c>
      <c r="P1746" t="s">
        <v>823</v>
      </c>
    </row>
    <row r="1747" ht="15.75" customHeight="1">
      <c r="A1747">
        <v>1761.0</v>
      </c>
      <c r="B1747">
        <v>49.0</v>
      </c>
      <c r="C1747">
        <v>51.0</v>
      </c>
      <c r="D1747">
        <v>3.0</v>
      </c>
      <c r="E1747">
        <v>3.428571428571431</v>
      </c>
      <c r="F1747">
        <v>5.0</v>
      </c>
      <c r="G1747">
        <v>7.0</v>
      </c>
      <c r="H1747">
        <v>35.0</v>
      </c>
      <c r="I1747">
        <v>120.0</v>
      </c>
      <c r="J1747">
        <v>381.0</v>
      </c>
      <c r="K1747">
        <v>1055.37</v>
      </c>
      <c r="L1747">
        <v>3.015342857142857</v>
      </c>
      <c r="M1747">
        <v>277.0</v>
      </c>
      <c r="N1747" t="s">
        <v>187</v>
      </c>
      <c r="O1747" t="s">
        <v>2965</v>
      </c>
      <c r="P1747" t="s">
        <v>823</v>
      </c>
    </row>
    <row r="1748" ht="15.75" customHeight="1">
      <c r="A1748">
        <v>1762.0</v>
      </c>
      <c r="B1748">
        <v>80.0</v>
      </c>
      <c r="C1748">
        <v>117.0</v>
      </c>
      <c r="D1748">
        <v>3.0</v>
      </c>
      <c r="E1748">
        <v>10.0</v>
      </c>
      <c r="F1748">
        <v>3.0</v>
      </c>
      <c r="G1748">
        <v>3.0</v>
      </c>
      <c r="H1748">
        <v>9.0</v>
      </c>
      <c r="I1748">
        <v>120.0</v>
      </c>
      <c r="J1748">
        <v>381.0</v>
      </c>
      <c r="K1748">
        <v>1013.46</v>
      </c>
      <c r="L1748">
        <v>11.26066666666667</v>
      </c>
      <c r="M1748">
        <v>266.0</v>
      </c>
      <c r="N1748" t="s">
        <v>187</v>
      </c>
      <c r="O1748" t="s">
        <v>2966</v>
      </c>
      <c r="P1748" t="s">
        <v>823</v>
      </c>
    </row>
    <row r="1749" ht="15.75" customHeight="1">
      <c r="A1749">
        <v>1763.0</v>
      </c>
      <c r="B1749">
        <v>32.0</v>
      </c>
      <c r="C1749">
        <v>192.0</v>
      </c>
      <c r="D1749">
        <v>3.0</v>
      </c>
      <c r="E1749">
        <v>112.8</v>
      </c>
      <c r="F1749">
        <v>7.0</v>
      </c>
      <c r="G1749">
        <v>1.0</v>
      </c>
      <c r="H1749">
        <v>7.0</v>
      </c>
      <c r="I1749">
        <v>96.0</v>
      </c>
      <c r="J1749">
        <v>304.8</v>
      </c>
      <c r="K1749">
        <v>798.5759999999999</v>
      </c>
      <c r="L1749">
        <v>11.40822857142857</v>
      </c>
      <c r="M1749">
        <v>262.0</v>
      </c>
      <c r="N1749" t="s">
        <v>187</v>
      </c>
      <c r="O1749" t="s">
        <v>2967</v>
      </c>
      <c r="P1749" t="s">
        <v>823</v>
      </c>
    </row>
    <row r="1750" ht="15.75" customHeight="1">
      <c r="A1750">
        <v>1764.0</v>
      </c>
      <c r="B1750">
        <v>103.0</v>
      </c>
      <c r="C1750">
        <v>129.0</v>
      </c>
      <c r="D1750">
        <v>3.0</v>
      </c>
      <c r="E1750">
        <v>4.349999999999994</v>
      </c>
      <c r="F1750">
        <v>2.0</v>
      </c>
      <c r="G1750">
        <v>2.0</v>
      </c>
      <c r="H1750">
        <v>4.0</v>
      </c>
      <c r="I1750">
        <v>84.0</v>
      </c>
      <c r="J1750">
        <v>266.7</v>
      </c>
      <c r="K1750">
        <v>610.7429999999999</v>
      </c>
      <c r="L1750">
        <v>15.268575</v>
      </c>
      <c r="M1750">
        <v>229.0</v>
      </c>
      <c r="N1750" t="s">
        <v>187</v>
      </c>
      <c r="O1750" t="s">
        <v>2968</v>
      </c>
      <c r="P1750" t="s">
        <v>823</v>
      </c>
    </row>
    <row r="1751" ht="15.75" customHeight="1">
      <c r="A1751">
        <v>1765.0</v>
      </c>
      <c r="B1751">
        <v>130.0</v>
      </c>
      <c r="C1751">
        <v>157.0</v>
      </c>
      <c r="D1751">
        <v>3.0</v>
      </c>
      <c r="E1751">
        <v>4.924999999999983</v>
      </c>
      <c r="F1751">
        <v>2.0</v>
      </c>
      <c r="G1751">
        <v>2.0</v>
      </c>
      <c r="H1751">
        <v>4.0</v>
      </c>
      <c r="I1751">
        <v>102.0</v>
      </c>
      <c r="J1751">
        <v>323.85</v>
      </c>
      <c r="K1751">
        <v>916.4954999999999</v>
      </c>
      <c r="L1751">
        <v>22.9123875</v>
      </c>
      <c r="M1751">
        <v>283.0</v>
      </c>
      <c r="N1751" t="s">
        <v>187</v>
      </c>
      <c r="O1751" t="s">
        <v>2969</v>
      </c>
      <c r="P1751" t="s">
        <v>823</v>
      </c>
    </row>
    <row r="1752" ht="15.75" customHeight="1">
      <c r="A1752">
        <v>1766.0</v>
      </c>
      <c r="B1752">
        <v>85.0</v>
      </c>
      <c r="C1752">
        <v>90.0</v>
      </c>
      <c r="D1752">
        <v>3.0</v>
      </c>
      <c r="E1752">
        <v>3.133333333333326</v>
      </c>
      <c r="F1752">
        <v>2.0</v>
      </c>
      <c r="G1752">
        <v>3.0</v>
      </c>
      <c r="H1752">
        <v>6.0</v>
      </c>
      <c r="I1752">
        <v>88.0</v>
      </c>
      <c r="J1752">
        <v>279.4</v>
      </c>
      <c r="K1752">
        <v>539.242</v>
      </c>
      <c r="L1752">
        <v>8.987366666666667</v>
      </c>
      <c r="M1752">
        <v>193.0</v>
      </c>
      <c r="N1752" t="s">
        <v>187</v>
      </c>
      <c r="O1752" t="s">
        <v>2970</v>
      </c>
      <c r="P1752" t="s">
        <v>823</v>
      </c>
    </row>
    <row r="1753" ht="15.75" customHeight="1">
      <c r="A1753">
        <v>1767.0</v>
      </c>
      <c r="B1753">
        <v>90.0</v>
      </c>
      <c r="C1753">
        <v>60.0</v>
      </c>
      <c r="D1753">
        <v>3.0</v>
      </c>
      <c r="E1753">
        <v>3.5</v>
      </c>
      <c r="F1753">
        <v>3.0</v>
      </c>
      <c r="G1753">
        <v>6.0</v>
      </c>
      <c r="H1753">
        <v>18.0</v>
      </c>
      <c r="I1753">
        <v>120.0</v>
      </c>
      <c r="J1753">
        <v>381.0</v>
      </c>
      <c r="K1753">
        <v>1127.76</v>
      </c>
      <c r="L1753">
        <v>6.265333333333334</v>
      </c>
      <c r="M1753">
        <v>296.0</v>
      </c>
      <c r="N1753" t="s">
        <v>187</v>
      </c>
      <c r="O1753" t="s">
        <v>2971</v>
      </c>
      <c r="P1753" t="s">
        <v>823</v>
      </c>
    </row>
    <row r="1754" ht="15.75" customHeight="1">
      <c r="A1754">
        <v>1768.0</v>
      </c>
      <c r="B1754">
        <v>55.0</v>
      </c>
      <c r="C1754">
        <v>30.0</v>
      </c>
      <c r="D1754">
        <v>3.0</v>
      </c>
      <c r="E1754">
        <v>3.337499999999999</v>
      </c>
      <c r="F1754">
        <v>4.0</v>
      </c>
      <c r="G1754">
        <v>8.0</v>
      </c>
      <c r="H1754">
        <v>32.0</v>
      </c>
      <c r="I1754">
        <v>84.0</v>
      </c>
      <c r="J1754">
        <v>266.7</v>
      </c>
      <c r="K1754">
        <v>664.0830000000001</v>
      </c>
      <c r="L1754">
        <v>2.075259375</v>
      </c>
      <c r="M1754">
        <v>249.0</v>
      </c>
      <c r="N1754" t="s">
        <v>187</v>
      </c>
      <c r="O1754" t="s">
        <v>2972</v>
      </c>
      <c r="P1754" t="s">
        <v>823</v>
      </c>
    </row>
    <row r="1755" ht="15.75" customHeight="1">
      <c r="A1755">
        <v>1769.0</v>
      </c>
      <c r="B1755">
        <v>52.0</v>
      </c>
      <c r="C1755">
        <v>135.0</v>
      </c>
      <c r="D1755">
        <v>3.0</v>
      </c>
      <c r="E1755">
        <v>4.699999999999989</v>
      </c>
      <c r="F1755">
        <v>5.0</v>
      </c>
      <c r="G1755">
        <v>2.0</v>
      </c>
      <c r="H1755">
        <v>10.0</v>
      </c>
      <c r="I1755">
        <v>88.0</v>
      </c>
      <c r="J1755">
        <v>279.4</v>
      </c>
      <c r="K1755">
        <v>815.8479999999998</v>
      </c>
      <c r="L1755">
        <v>8.158479999999999</v>
      </c>
      <c r="M1755">
        <v>292.0</v>
      </c>
      <c r="N1755" t="s">
        <v>187</v>
      </c>
      <c r="O1755" t="s">
        <v>2973</v>
      </c>
      <c r="P1755" t="s">
        <v>823</v>
      </c>
    </row>
    <row r="1756" ht="15.75" customHeight="1">
      <c r="A1756">
        <v>1770.0</v>
      </c>
      <c r="B1756">
        <v>140.0</v>
      </c>
      <c r="C1756">
        <v>175.0</v>
      </c>
      <c r="D1756">
        <v>3.0</v>
      </c>
      <c r="E1756">
        <v>15.5</v>
      </c>
      <c r="F1756">
        <v>2.0</v>
      </c>
      <c r="G1756">
        <v>2.0</v>
      </c>
      <c r="H1756">
        <v>4.0</v>
      </c>
      <c r="I1756">
        <v>120.0</v>
      </c>
      <c r="J1756">
        <v>381.0</v>
      </c>
      <c r="K1756">
        <v>1154.43</v>
      </c>
      <c r="L1756">
        <v>28.86075</v>
      </c>
      <c r="M1756">
        <v>303.0</v>
      </c>
      <c r="N1756" t="s">
        <v>187</v>
      </c>
      <c r="O1756" t="s">
        <v>2974</v>
      </c>
      <c r="P1756" t="s">
        <v>823</v>
      </c>
    </row>
    <row r="1757" ht="15.75" customHeight="1">
      <c r="A1757">
        <v>1771.0</v>
      </c>
      <c r="B1757">
        <v>65.0</v>
      </c>
      <c r="C1757">
        <v>295.0</v>
      </c>
      <c r="D1757">
        <v>3.0</v>
      </c>
      <c r="E1757">
        <v>9.799999999999955</v>
      </c>
      <c r="F1757">
        <v>4.0</v>
      </c>
      <c r="G1757">
        <v>1.0</v>
      </c>
      <c r="H1757">
        <v>4.0</v>
      </c>
      <c r="I1757">
        <v>96.0</v>
      </c>
      <c r="J1757">
        <v>304.8</v>
      </c>
      <c r="K1757">
        <v>880.8719999999998</v>
      </c>
      <c r="L1757">
        <v>22.0218</v>
      </c>
      <c r="M1757">
        <v>289.0</v>
      </c>
      <c r="N1757" t="s">
        <v>187</v>
      </c>
      <c r="O1757" t="s">
        <v>2975</v>
      </c>
      <c r="P1757" t="s">
        <v>823</v>
      </c>
    </row>
    <row r="1758" ht="15.75" customHeight="1">
      <c r="A1758">
        <v>1772.0</v>
      </c>
      <c r="B1758">
        <v>323.0</v>
      </c>
      <c r="C1758">
        <v>153.0</v>
      </c>
      <c r="D1758">
        <v>3.0</v>
      </c>
      <c r="E1758">
        <v>8.924999999999983</v>
      </c>
      <c r="F1758">
        <v>1.0</v>
      </c>
      <c r="G1758">
        <v>2.0</v>
      </c>
      <c r="H1758">
        <v>2.0</v>
      </c>
      <c r="I1758">
        <v>102.0</v>
      </c>
      <c r="J1758">
        <v>323.85</v>
      </c>
      <c r="K1758">
        <v>1110.8055</v>
      </c>
      <c r="L1758">
        <v>55.54027499999999</v>
      </c>
      <c r="M1758">
        <v>343.0</v>
      </c>
      <c r="N1758" t="s">
        <v>187</v>
      </c>
      <c r="O1758" t="s">
        <v>2976</v>
      </c>
      <c r="P1758" t="s">
        <v>823</v>
      </c>
    </row>
    <row r="1759" ht="15.75" customHeight="1">
      <c r="A1759">
        <v>1773.0</v>
      </c>
      <c r="B1759">
        <v>135.0</v>
      </c>
      <c r="C1759">
        <v>148.0</v>
      </c>
      <c r="D1759">
        <v>3.0</v>
      </c>
      <c r="E1759">
        <v>4.399999999999977</v>
      </c>
      <c r="F1759">
        <v>2.0</v>
      </c>
      <c r="G1759">
        <v>2.0</v>
      </c>
      <c r="H1759">
        <v>4.0</v>
      </c>
      <c r="I1759">
        <v>96.0</v>
      </c>
      <c r="J1759">
        <v>304.8</v>
      </c>
      <c r="K1759">
        <v>893.0639999999999</v>
      </c>
      <c r="L1759">
        <v>22.3266</v>
      </c>
      <c r="M1759">
        <v>293.0</v>
      </c>
      <c r="N1759" t="s">
        <v>187</v>
      </c>
      <c r="O1759" t="s">
        <v>2977</v>
      </c>
      <c r="P1759" t="s">
        <v>823</v>
      </c>
    </row>
    <row r="1760" ht="15.75" customHeight="1">
      <c r="A1760">
        <v>1774.0</v>
      </c>
      <c r="B1760">
        <v>100.0</v>
      </c>
      <c r="C1760">
        <v>230.0</v>
      </c>
      <c r="D1760">
        <v>3.0</v>
      </c>
      <c r="E1760">
        <v>4.949999999999989</v>
      </c>
      <c r="F1760">
        <v>4.0</v>
      </c>
      <c r="G1760">
        <v>2.0</v>
      </c>
      <c r="H1760">
        <v>8.0</v>
      </c>
      <c r="I1760">
        <v>148.0</v>
      </c>
      <c r="J1760">
        <v>469.9</v>
      </c>
      <c r="K1760">
        <v>2015.871</v>
      </c>
      <c r="L1760">
        <v>25.1983875</v>
      </c>
      <c r="M1760">
        <v>429.0</v>
      </c>
      <c r="N1760" t="s">
        <v>187</v>
      </c>
      <c r="O1760" t="s">
        <v>2978</v>
      </c>
      <c r="P1760" t="s">
        <v>823</v>
      </c>
    </row>
    <row r="1761" ht="15.75" customHeight="1">
      <c r="A1761">
        <v>1775.0</v>
      </c>
      <c r="B1761">
        <v>115.0</v>
      </c>
      <c r="C1761">
        <v>150.0</v>
      </c>
      <c r="D1761">
        <v>3.0</v>
      </c>
      <c r="E1761">
        <v>2.399999999999977</v>
      </c>
      <c r="F1761">
        <v>2.0</v>
      </c>
      <c r="G1761">
        <v>2.0</v>
      </c>
      <c r="H1761">
        <v>4.0</v>
      </c>
      <c r="I1761">
        <v>96.0</v>
      </c>
      <c r="J1761">
        <v>304.8</v>
      </c>
      <c r="K1761">
        <v>771.1439999999999</v>
      </c>
      <c r="L1761">
        <v>19.2786</v>
      </c>
      <c r="M1761">
        <v>253.0</v>
      </c>
      <c r="N1761" t="s">
        <v>187</v>
      </c>
      <c r="O1761" t="s">
        <v>2979</v>
      </c>
      <c r="P1761" t="s">
        <v>823</v>
      </c>
    </row>
    <row r="1762" ht="15.75" customHeight="1">
      <c r="A1762">
        <v>1776.0</v>
      </c>
      <c r="B1762">
        <v>50.0</v>
      </c>
      <c r="C1762">
        <v>63.0</v>
      </c>
      <c r="D1762">
        <v>3.0</v>
      </c>
      <c r="E1762">
        <v>3.674999999999997</v>
      </c>
      <c r="F1762">
        <v>5.0</v>
      </c>
      <c r="G1762">
        <v>5.0</v>
      </c>
      <c r="H1762">
        <v>25.0</v>
      </c>
      <c r="I1762">
        <v>105.0</v>
      </c>
      <c r="J1762">
        <v>333.375</v>
      </c>
      <c r="K1762">
        <v>940.1175</v>
      </c>
      <c r="L1762">
        <v>3.76047</v>
      </c>
      <c r="M1762">
        <v>282.0</v>
      </c>
      <c r="N1762" t="s">
        <v>187</v>
      </c>
      <c r="O1762" t="s">
        <v>2980</v>
      </c>
      <c r="P1762" t="s">
        <v>823</v>
      </c>
    </row>
    <row r="1763" ht="15.75" customHeight="1">
      <c r="A1763">
        <v>1777.0</v>
      </c>
      <c r="B1763">
        <v>38.0</v>
      </c>
      <c r="C1763">
        <v>80.0</v>
      </c>
      <c r="D1763">
        <v>3.0</v>
      </c>
      <c r="E1763">
        <v>3.34375</v>
      </c>
      <c r="F1763">
        <v>9.0</v>
      </c>
      <c r="G1763">
        <v>4.0</v>
      </c>
      <c r="H1763">
        <v>36.0</v>
      </c>
      <c r="I1763">
        <v>105.0</v>
      </c>
      <c r="J1763">
        <v>333.375</v>
      </c>
      <c r="K1763">
        <v>1286.8275</v>
      </c>
      <c r="L1763">
        <v>3.574520833333333</v>
      </c>
      <c r="M1763">
        <v>386.0</v>
      </c>
      <c r="N1763" t="s">
        <v>187</v>
      </c>
      <c r="O1763" t="s">
        <v>2981</v>
      </c>
      <c r="P1763" t="s">
        <v>823</v>
      </c>
    </row>
    <row r="1764" ht="15.75" customHeight="1">
      <c r="A1764">
        <v>1778.0</v>
      </c>
      <c r="B1764">
        <v>89.0</v>
      </c>
      <c r="C1764">
        <v>364.0</v>
      </c>
      <c r="D1764">
        <v>3.0</v>
      </c>
      <c r="E1764">
        <v>17.0</v>
      </c>
      <c r="F1764">
        <v>4.0</v>
      </c>
      <c r="G1764">
        <v>1.0</v>
      </c>
      <c r="H1764">
        <v>4.0</v>
      </c>
      <c r="I1764">
        <v>120.0</v>
      </c>
      <c r="J1764">
        <v>381.0</v>
      </c>
      <c r="K1764">
        <v>1466.85</v>
      </c>
      <c r="L1764">
        <v>36.67125</v>
      </c>
      <c r="M1764">
        <v>385.0</v>
      </c>
      <c r="N1764" t="s">
        <v>187</v>
      </c>
      <c r="O1764" t="s">
        <v>2982</v>
      </c>
      <c r="P1764" t="s">
        <v>823</v>
      </c>
    </row>
    <row r="1765" ht="15.75" customHeight="1">
      <c r="A1765">
        <v>1779.0</v>
      </c>
      <c r="B1765">
        <v>36.0</v>
      </c>
      <c r="C1765">
        <v>223.0</v>
      </c>
      <c r="D1765">
        <v>3.0</v>
      </c>
      <c r="E1765">
        <v>4.012499999999989</v>
      </c>
      <c r="F1765">
        <v>7.0</v>
      </c>
      <c r="G1765">
        <v>2.0</v>
      </c>
      <c r="H1765">
        <v>14.0</v>
      </c>
      <c r="I1765">
        <v>143.0</v>
      </c>
      <c r="J1765">
        <v>454.025</v>
      </c>
      <c r="K1765">
        <v>1316.6725</v>
      </c>
      <c r="L1765">
        <v>9.404803571428571</v>
      </c>
      <c r="M1765">
        <v>290.0</v>
      </c>
      <c r="N1765" t="s">
        <v>187</v>
      </c>
      <c r="O1765" t="s">
        <v>2983</v>
      </c>
      <c r="P1765" t="s">
        <v>823</v>
      </c>
    </row>
    <row r="1766" ht="15.75" customHeight="1">
      <c r="A1766">
        <v>1780.0</v>
      </c>
      <c r="B1766">
        <v>195.0</v>
      </c>
      <c r="C1766">
        <v>160.0</v>
      </c>
      <c r="D1766">
        <v>3.0</v>
      </c>
      <c r="E1766">
        <v>6.6875</v>
      </c>
      <c r="F1766">
        <v>2.0</v>
      </c>
      <c r="G1766">
        <v>2.0</v>
      </c>
      <c r="H1766">
        <v>4.0</v>
      </c>
      <c r="I1766">
        <v>105.0</v>
      </c>
      <c r="J1766">
        <v>333.375</v>
      </c>
      <c r="K1766">
        <v>1376.83875</v>
      </c>
      <c r="L1766">
        <v>34.42096875</v>
      </c>
      <c r="M1766">
        <v>413.0</v>
      </c>
      <c r="N1766" t="s">
        <v>187</v>
      </c>
      <c r="O1766" t="s">
        <v>2984</v>
      </c>
      <c r="P1766" t="s">
        <v>823</v>
      </c>
    </row>
    <row r="1767" ht="15.75" customHeight="1">
      <c r="A1767">
        <v>1781.0</v>
      </c>
      <c r="B1767">
        <v>191.0</v>
      </c>
      <c r="C1767">
        <v>163.0</v>
      </c>
      <c r="D1767">
        <v>3.0</v>
      </c>
      <c r="E1767">
        <v>3.6875</v>
      </c>
      <c r="F1767">
        <v>2.0</v>
      </c>
      <c r="G1767">
        <v>2.0</v>
      </c>
      <c r="H1767">
        <v>4.0</v>
      </c>
      <c r="I1767">
        <v>105.0</v>
      </c>
      <c r="J1767">
        <v>333.375</v>
      </c>
      <c r="K1767">
        <v>1350.16875</v>
      </c>
      <c r="L1767">
        <v>33.75421875</v>
      </c>
      <c r="M1767">
        <v>405.0</v>
      </c>
      <c r="N1767" t="s">
        <v>187</v>
      </c>
      <c r="O1767" t="s">
        <v>2985</v>
      </c>
      <c r="P1767" t="s">
        <v>823</v>
      </c>
    </row>
    <row r="1768" ht="15.75" customHeight="1">
      <c r="A1768">
        <v>1782.0</v>
      </c>
      <c r="B1768">
        <v>45.0</v>
      </c>
      <c r="C1768">
        <v>45.0</v>
      </c>
      <c r="D1768">
        <v>3.0</v>
      </c>
      <c r="E1768">
        <v>3.98571428571428</v>
      </c>
      <c r="F1768">
        <v>5.0</v>
      </c>
      <c r="G1768">
        <v>7.0</v>
      </c>
      <c r="H1768">
        <v>35.0</v>
      </c>
      <c r="I1768">
        <v>108.0</v>
      </c>
      <c r="J1768">
        <v>342.9</v>
      </c>
      <c r="K1768">
        <v>881.2529999999999</v>
      </c>
      <c r="L1768">
        <v>2.517865714285714</v>
      </c>
      <c r="M1768">
        <v>257.0</v>
      </c>
      <c r="N1768" t="s">
        <v>187</v>
      </c>
      <c r="O1768" t="s">
        <v>2986</v>
      </c>
      <c r="P1768" t="s">
        <v>823</v>
      </c>
    </row>
    <row r="1769" ht="15.75" customHeight="1">
      <c r="A1769">
        <v>1783.0</v>
      </c>
      <c r="B1769">
        <v>60.0</v>
      </c>
      <c r="C1769">
        <v>140.0</v>
      </c>
      <c r="D1769">
        <v>3.0</v>
      </c>
      <c r="E1769">
        <v>2.875</v>
      </c>
      <c r="F1769">
        <v>3.0</v>
      </c>
      <c r="G1769">
        <v>2.0</v>
      </c>
      <c r="H1769">
        <v>6.0</v>
      </c>
      <c r="I1769">
        <v>90.0</v>
      </c>
      <c r="J1769">
        <v>285.75</v>
      </c>
      <c r="K1769">
        <v>588.645</v>
      </c>
      <c r="L1769">
        <v>9.81075</v>
      </c>
      <c r="M1769">
        <v>206.0</v>
      </c>
      <c r="N1769" t="s">
        <v>187</v>
      </c>
      <c r="O1769" t="s">
        <v>2987</v>
      </c>
      <c r="P1769" t="s">
        <v>823</v>
      </c>
    </row>
    <row r="1770" ht="15.75" customHeight="1">
      <c r="A1770">
        <v>1784.0</v>
      </c>
      <c r="B1770">
        <v>180.0</v>
      </c>
      <c r="C1770">
        <v>95.0</v>
      </c>
      <c r="D1770">
        <v>3.0</v>
      </c>
      <c r="E1770">
        <v>6.59999999999998</v>
      </c>
      <c r="F1770">
        <v>2.0</v>
      </c>
      <c r="G1770">
        <v>3.0</v>
      </c>
      <c r="H1770">
        <v>6.0</v>
      </c>
      <c r="I1770">
        <v>96.0</v>
      </c>
      <c r="J1770">
        <v>304.8</v>
      </c>
      <c r="K1770">
        <v>1167.384</v>
      </c>
      <c r="L1770">
        <v>19.4564</v>
      </c>
      <c r="M1770">
        <v>383.0</v>
      </c>
      <c r="N1770" t="s">
        <v>187</v>
      </c>
      <c r="O1770" t="s">
        <v>2988</v>
      </c>
      <c r="P1770" t="s">
        <v>823</v>
      </c>
    </row>
    <row r="1771" ht="15.75" customHeight="1">
      <c r="A1771">
        <v>1785.0</v>
      </c>
      <c r="B1771">
        <v>50.0</v>
      </c>
      <c r="C1771">
        <v>25.0</v>
      </c>
      <c r="D1771">
        <v>3.0</v>
      </c>
      <c r="E1771">
        <v>10.71875</v>
      </c>
      <c r="F1771">
        <v>3.0</v>
      </c>
      <c r="G1771">
        <v>8.0</v>
      </c>
      <c r="H1771">
        <v>24.0</v>
      </c>
      <c r="I1771">
        <v>90.0</v>
      </c>
      <c r="J1771">
        <v>285.75</v>
      </c>
      <c r="K1771">
        <v>502.92</v>
      </c>
      <c r="L1771">
        <v>2.0955</v>
      </c>
      <c r="M1771">
        <v>176.0</v>
      </c>
      <c r="N1771" t="s">
        <v>187</v>
      </c>
      <c r="O1771" t="s">
        <v>2989</v>
      </c>
      <c r="P1771" t="s">
        <v>823</v>
      </c>
    </row>
    <row r="1772" ht="15.75" customHeight="1">
      <c r="A1772">
        <v>1786.0</v>
      </c>
      <c r="B1772">
        <v>165.0</v>
      </c>
      <c r="C1772">
        <v>55.0</v>
      </c>
      <c r="D1772">
        <v>3.0</v>
      </c>
      <c r="E1772">
        <v>5.959999999999994</v>
      </c>
      <c r="F1772">
        <v>2.0</v>
      </c>
      <c r="G1772">
        <v>5.0</v>
      </c>
      <c r="H1772">
        <v>10.0</v>
      </c>
      <c r="I1772">
        <v>96.0</v>
      </c>
      <c r="J1772">
        <v>304.8</v>
      </c>
      <c r="K1772">
        <v>1075.944</v>
      </c>
      <c r="L1772">
        <v>10.75944</v>
      </c>
      <c r="M1772">
        <v>353.0</v>
      </c>
      <c r="N1772" t="s">
        <v>187</v>
      </c>
      <c r="O1772" t="s">
        <v>2990</v>
      </c>
      <c r="P1772" t="s">
        <v>823</v>
      </c>
    </row>
    <row r="1773" ht="15.75" customHeight="1">
      <c r="A1773">
        <v>1787.0</v>
      </c>
      <c r="B1773">
        <v>118.0</v>
      </c>
      <c r="C1773">
        <v>81.0</v>
      </c>
      <c r="D1773">
        <v>3.0</v>
      </c>
      <c r="E1773">
        <v>4.724999999999994</v>
      </c>
      <c r="F1773">
        <v>2.0</v>
      </c>
      <c r="G1773">
        <v>4.0</v>
      </c>
      <c r="H1773">
        <v>8.0</v>
      </c>
      <c r="I1773">
        <v>108.0</v>
      </c>
      <c r="J1773">
        <v>342.9</v>
      </c>
      <c r="K1773">
        <v>888.1109999999999</v>
      </c>
      <c r="L1773">
        <v>11.1013875</v>
      </c>
      <c r="M1773">
        <v>259.0</v>
      </c>
      <c r="N1773" t="s">
        <v>187</v>
      </c>
      <c r="O1773" t="s">
        <v>2991</v>
      </c>
      <c r="P1773" t="s">
        <v>823</v>
      </c>
    </row>
    <row r="1774" ht="15.75" customHeight="1">
      <c r="A1774">
        <v>1788.0</v>
      </c>
      <c r="B1774">
        <v>34.82</v>
      </c>
      <c r="C1774">
        <v>53.16</v>
      </c>
      <c r="D1774">
        <v>3.0</v>
      </c>
      <c r="E1774">
        <v>2.719999999999999</v>
      </c>
      <c r="F1774">
        <v>7.0</v>
      </c>
      <c r="G1774">
        <v>5.0</v>
      </c>
      <c r="H1774">
        <v>35.0</v>
      </c>
      <c r="I1774">
        <v>88.0</v>
      </c>
      <c r="J1774">
        <v>279.4</v>
      </c>
      <c r="K1774">
        <v>787.18156</v>
      </c>
      <c r="L1774">
        <v>2.249090171428572</v>
      </c>
      <c r="M1774">
        <v>281.74</v>
      </c>
      <c r="N1774" t="s">
        <v>187</v>
      </c>
      <c r="O1774" t="s">
        <v>2992</v>
      </c>
      <c r="P1774" t="s">
        <v>823</v>
      </c>
    </row>
    <row r="1775" ht="15.75" customHeight="1">
      <c r="A1775">
        <v>1789.0</v>
      </c>
      <c r="B1775">
        <v>32.78</v>
      </c>
      <c r="C1775">
        <v>77.32</v>
      </c>
      <c r="D1775">
        <v>3.0</v>
      </c>
      <c r="E1775">
        <v>3.642499999999998</v>
      </c>
      <c r="F1775">
        <v>7.0</v>
      </c>
      <c r="G1775">
        <v>4.0</v>
      </c>
      <c r="H1775">
        <v>28.0</v>
      </c>
      <c r="I1775">
        <v>102.0</v>
      </c>
      <c r="J1775">
        <v>323.85</v>
      </c>
      <c r="K1775">
        <v>866.16921</v>
      </c>
      <c r="L1775">
        <v>3.093461464285714</v>
      </c>
      <c r="M1775">
        <v>267.46</v>
      </c>
      <c r="N1775" t="s">
        <v>187</v>
      </c>
      <c r="O1775" t="s">
        <v>2993</v>
      </c>
      <c r="P1775" t="s">
        <v>823</v>
      </c>
    </row>
    <row r="1776" ht="15.75" customHeight="1">
      <c r="A1776">
        <v>1790.0</v>
      </c>
      <c r="B1776">
        <v>50.0</v>
      </c>
      <c r="C1776">
        <v>250.0</v>
      </c>
      <c r="D1776">
        <v>3.0</v>
      </c>
      <c r="E1776">
        <v>11.9375</v>
      </c>
      <c r="F1776">
        <v>6.0</v>
      </c>
      <c r="G1776">
        <v>2.0</v>
      </c>
      <c r="H1776">
        <v>12.0</v>
      </c>
      <c r="I1776">
        <v>165.0</v>
      </c>
      <c r="J1776">
        <v>523.875</v>
      </c>
      <c r="K1776">
        <v>1754.98125</v>
      </c>
      <c r="L1776">
        <v>14.62484375</v>
      </c>
      <c r="M1776">
        <v>335.0</v>
      </c>
      <c r="N1776" t="s">
        <v>187</v>
      </c>
      <c r="O1776" t="s">
        <v>2994</v>
      </c>
      <c r="P1776" t="s">
        <v>823</v>
      </c>
    </row>
    <row r="1777" ht="15.75" customHeight="1">
      <c r="A1777">
        <v>1791.0</v>
      </c>
      <c r="B1777">
        <v>30.0</v>
      </c>
      <c r="C1777">
        <v>250.0</v>
      </c>
      <c r="D1777">
        <v>3.0</v>
      </c>
      <c r="E1777">
        <v>11.9375</v>
      </c>
      <c r="F1777">
        <v>7.0</v>
      </c>
      <c r="G1777">
        <v>2.0</v>
      </c>
      <c r="H1777">
        <v>14.0</v>
      </c>
      <c r="I1777">
        <v>165.0</v>
      </c>
      <c r="J1777">
        <v>523.875</v>
      </c>
      <c r="K1777">
        <v>1299.21</v>
      </c>
      <c r="L1777">
        <v>9.280071428571427</v>
      </c>
      <c r="M1777">
        <v>248.0</v>
      </c>
      <c r="N1777" t="s">
        <v>187</v>
      </c>
      <c r="O1777" t="s">
        <v>2995</v>
      </c>
      <c r="P1777" t="s">
        <v>823</v>
      </c>
    </row>
    <row r="1778" ht="15.75" customHeight="1">
      <c r="A1778">
        <v>1792.0</v>
      </c>
      <c r="B1778">
        <v>60.0</v>
      </c>
      <c r="C1778">
        <v>150.0</v>
      </c>
      <c r="D1778">
        <v>3.0</v>
      </c>
      <c r="E1778">
        <v>2.399999999999977</v>
      </c>
      <c r="F1778">
        <v>4.0</v>
      </c>
      <c r="G1778">
        <v>2.0</v>
      </c>
      <c r="H1778">
        <v>8.0</v>
      </c>
      <c r="I1778">
        <v>96.0</v>
      </c>
      <c r="J1778">
        <v>304.8</v>
      </c>
      <c r="K1778">
        <v>819.9119999999998</v>
      </c>
      <c r="L1778">
        <v>10.2489</v>
      </c>
      <c r="M1778">
        <v>269.0</v>
      </c>
      <c r="N1778" t="s">
        <v>187</v>
      </c>
      <c r="O1778" t="s">
        <v>2996</v>
      </c>
      <c r="P1778" t="s">
        <v>823</v>
      </c>
    </row>
    <row r="1779" ht="15.75" customHeight="1">
      <c r="A1779">
        <v>1793.0</v>
      </c>
      <c r="B1779">
        <v>239.0</v>
      </c>
      <c r="C1779">
        <v>169.0</v>
      </c>
      <c r="D1779">
        <v>3.0</v>
      </c>
      <c r="E1779">
        <v>2.449999999999989</v>
      </c>
      <c r="F1779">
        <v>1.0</v>
      </c>
      <c r="G1779">
        <v>2.0</v>
      </c>
      <c r="H1779">
        <v>2.0</v>
      </c>
      <c r="I1779">
        <v>108.0</v>
      </c>
      <c r="J1779">
        <v>342.9</v>
      </c>
      <c r="K1779">
        <v>888.1109999999999</v>
      </c>
      <c r="L1779">
        <v>44.40555</v>
      </c>
      <c r="M1779">
        <v>259.0</v>
      </c>
      <c r="N1779" t="s">
        <v>187</v>
      </c>
      <c r="O1779" t="s">
        <v>2997</v>
      </c>
      <c r="P1779" t="s">
        <v>2998</v>
      </c>
    </row>
    <row r="1780" ht="15.75" customHeight="1">
      <c r="A1780">
        <v>1794.0</v>
      </c>
      <c r="B1780">
        <v>239.0</v>
      </c>
      <c r="C1780">
        <v>169.0</v>
      </c>
      <c r="D1780">
        <v>3.0</v>
      </c>
      <c r="E1780">
        <v>2.449999999999989</v>
      </c>
      <c r="F1780">
        <v>1.0</v>
      </c>
      <c r="G1780">
        <v>2.0</v>
      </c>
      <c r="H1780">
        <v>2.0</v>
      </c>
      <c r="I1780">
        <v>108.0</v>
      </c>
      <c r="J1780">
        <v>342.9</v>
      </c>
      <c r="K1780">
        <v>888.1109999999999</v>
      </c>
      <c r="L1780">
        <v>44.40555</v>
      </c>
      <c r="M1780">
        <v>259.0</v>
      </c>
      <c r="N1780" t="s">
        <v>187</v>
      </c>
      <c r="O1780" t="s">
        <v>2999</v>
      </c>
      <c r="P1780" t="s">
        <v>3000</v>
      </c>
    </row>
    <row r="1781" ht="15.75" customHeight="1">
      <c r="A1781">
        <v>1795.0</v>
      </c>
      <c r="B1781">
        <v>20.0</v>
      </c>
      <c r="C1781">
        <v>38.0</v>
      </c>
      <c r="D1781">
        <v>3.0</v>
      </c>
      <c r="E1781">
        <v>2.821428571428569</v>
      </c>
      <c r="F1781">
        <v>5.0</v>
      </c>
      <c r="G1781">
        <v>7.0</v>
      </c>
      <c r="H1781">
        <v>35.0</v>
      </c>
      <c r="I1781">
        <v>90.0</v>
      </c>
      <c r="J1781">
        <v>285.75</v>
      </c>
      <c r="K1781">
        <v>377.19</v>
      </c>
      <c r="L1781">
        <v>1.077685714285714</v>
      </c>
      <c r="M1781">
        <v>132.0</v>
      </c>
      <c r="N1781" t="s">
        <v>187</v>
      </c>
      <c r="O1781" t="s">
        <v>3001</v>
      </c>
      <c r="P1781" t="s">
        <v>823</v>
      </c>
    </row>
    <row r="1782" ht="15.75" customHeight="1">
      <c r="A1782">
        <v>1796.0</v>
      </c>
      <c r="B1782">
        <v>170.0</v>
      </c>
      <c r="C1782">
        <v>170.0</v>
      </c>
      <c r="D1782">
        <v>3.0</v>
      </c>
      <c r="E1782">
        <v>4.625</v>
      </c>
      <c r="F1782">
        <v>2.0</v>
      </c>
      <c r="G1782">
        <v>2.0</v>
      </c>
      <c r="H1782">
        <v>4.0</v>
      </c>
      <c r="I1782">
        <v>110.0</v>
      </c>
      <c r="J1782">
        <v>349.25</v>
      </c>
      <c r="K1782">
        <v>1267.7775</v>
      </c>
      <c r="L1782">
        <v>31.6944375</v>
      </c>
      <c r="M1782">
        <v>363.0</v>
      </c>
      <c r="N1782" t="s">
        <v>187</v>
      </c>
      <c r="O1782" t="s">
        <v>3002</v>
      </c>
      <c r="P1782" t="s">
        <v>823</v>
      </c>
    </row>
    <row r="1783" ht="15.75" customHeight="1">
      <c r="A1783">
        <v>1797.0</v>
      </c>
      <c r="B1783">
        <v>99.0</v>
      </c>
      <c r="C1783">
        <v>125.0</v>
      </c>
      <c r="D1783">
        <v>3.0</v>
      </c>
      <c r="E1783">
        <v>8.349999999999994</v>
      </c>
      <c r="F1783">
        <v>2.0</v>
      </c>
      <c r="G1783">
        <v>2.0</v>
      </c>
      <c r="H1783">
        <v>4.0</v>
      </c>
      <c r="I1783">
        <v>84.0</v>
      </c>
      <c r="J1783">
        <v>266.7</v>
      </c>
      <c r="K1783">
        <v>589.4069999999999</v>
      </c>
      <c r="L1783">
        <v>14.735175</v>
      </c>
      <c r="M1783">
        <v>221.0</v>
      </c>
      <c r="N1783" t="s">
        <v>187</v>
      </c>
      <c r="O1783" t="s">
        <v>3003</v>
      </c>
      <c r="P1783" t="s">
        <v>823</v>
      </c>
    </row>
    <row r="1784" ht="15.75" customHeight="1">
      <c r="A1784">
        <v>1798.0</v>
      </c>
      <c r="B1784">
        <v>76.0</v>
      </c>
      <c r="C1784">
        <v>113.0</v>
      </c>
      <c r="D1784">
        <v>3.0</v>
      </c>
      <c r="E1784">
        <v>3.416666666666671</v>
      </c>
      <c r="F1784">
        <v>3.0</v>
      </c>
      <c r="G1784">
        <v>3.0</v>
      </c>
      <c r="H1784">
        <v>9.0</v>
      </c>
      <c r="I1784">
        <v>110.0</v>
      </c>
      <c r="J1784">
        <v>349.25</v>
      </c>
      <c r="K1784">
        <v>887.095</v>
      </c>
      <c r="L1784">
        <v>9.85661111111111</v>
      </c>
      <c r="M1784">
        <v>254.0</v>
      </c>
      <c r="N1784" t="s">
        <v>187</v>
      </c>
      <c r="O1784" t="s">
        <v>3004</v>
      </c>
      <c r="P1784" t="s">
        <v>823</v>
      </c>
    </row>
    <row r="1785" ht="15.75" customHeight="1">
      <c r="A1785">
        <v>1799.0</v>
      </c>
      <c r="B1785">
        <v>48.0</v>
      </c>
      <c r="C1785">
        <v>50.0</v>
      </c>
      <c r="D1785">
        <v>3.0</v>
      </c>
      <c r="E1785">
        <v>3.339999999999996</v>
      </c>
      <c r="F1785">
        <v>5.0</v>
      </c>
      <c r="G1785">
        <v>5.0</v>
      </c>
      <c r="H1785">
        <v>25.0</v>
      </c>
      <c r="I1785">
        <v>84.0</v>
      </c>
      <c r="J1785">
        <v>266.7</v>
      </c>
      <c r="K1785">
        <v>725.424</v>
      </c>
      <c r="L1785">
        <v>2.901696</v>
      </c>
      <c r="M1785">
        <v>272.0</v>
      </c>
      <c r="N1785" t="s">
        <v>187</v>
      </c>
      <c r="O1785" t="s">
        <v>3005</v>
      </c>
      <c r="P1785" t="s">
        <v>823</v>
      </c>
    </row>
    <row r="1786" ht="15.75" customHeight="1">
      <c r="A1786">
        <v>1800.0</v>
      </c>
      <c r="B1786">
        <v>126.0</v>
      </c>
      <c r="C1786">
        <v>152.0</v>
      </c>
      <c r="D1786">
        <v>3.0</v>
      </c>
      <c r="E1786">
        <v>3.574999999999989</v>
      </c>
      <c r="F1786">
        <v>2.0</v>
      </c>
      <c r="G1786">
        <v>2.0</v>
      </c>
      <c r="H1786">
        <v>4.0</v>
      </c>
      <c r="I1786">
        <v>98.0</v>
      </c>
      <c r="J1786">
        <v>311.15</v>
      </c>
      <c r="K1786">
        <v>855.6625</v>
      </c>
      <c r="L1786">
        <v>21.3915625</v>
      </c>
      <c r="M1786">
        <v>275.0</v>
      </c>
      <c r="N1786" t="s">
        <v>187</v>
      </c>
      <c r="O1786" t="s">
        <v>3006</v>
      </c>
      <c r="P1786" t="s">
        <v>823</v>
      </c>
    </row>
    <row r="1787" ht="15.75" customHeight="1">
      <c r="A1787">
        <v>1801.0</v>
      </c>
      <c r="B1787">
        <v>30.0</v>
      </c>
      <c r="C1787">
        <v>289.0</v>
      </c>
      <c r="D1787">
        <v>3.0</v>
      </c>
      <c r="E1787">
        <v>15.79999999999995</v>
      </c>
      <c r="F1787">
        <v>7.0</v>
      </c>
      <c r="G1787">
        <v>1.0</v>
      </c>
      <c r="H1787">
        <v>7.0</v>
      </c>
      <c r="I1787">
        <v>96.0</v>
      </c>
      <c r="J1787">
        <v>304.8</v>
      </c>
      <c r="K1787">
        <v>755.904</v>
      </c>
      <c r="L1787">
        <v>10.79862857142857</v>
      </c>
      <c r="M1787">
        <v>248.0</v>
      </c>
      <c r="N1787" t="s">
        <v>187</v>
      </c>
      <c r="O1787" t="s">
        <v>3007</v>
      </c>
      <c r="P1787" t="s">
        <v>823</v>
      </c>
    </row>
    <row r="1788" ht="15.75" customHeight="1">
      <c r="A1788">
        <v>1802.0</v>
      </c>
      <c r="B1788">
        <v>30.0</v>
      </c>
      <c r="C1788">
        <v>65.0</v>
      </c>
      <c r="D1788">
        <v>3.0</v>
      </c>
      <c r="E1788">
        <v>3.262500000000003</v>
      </c>
      <c r="F1788">
        <v>7.0</v>
      </c>
      <c r="G1788">
        <v>4.0</v>
      </c>
      <c r="H1788">
        <v>28.0</v>
      </c>
      <c r="I1788">
        <v>86.0</v>
      </c>
      <c r="J1788">
        <v>273.05</v>
      </c>
      <c r="K1788">
        <v>677.1640000000001</v>
      </c>
      <c r="L1788">
        <v>2.418442857142857</v>
      </c>
      <c r="M1788">
        <v>248.0</v>
      </c>
      <c r="N1788" t="s">
        <v>187</v>
      </c>
      <c r="O1788" t="s">
        <v>3008</v>
      </c>
      <c r="P1788" t="s">
        <v>823</v>
      </c>
    </row>
    <row r="1789" ht="15.75" customHeight="1">
      <c r="A1789">
        <v>1803.0</v>
      </c>
      <c r="B1789">
        <v>55.0</v>
      </c>
      <c r="C1789">
        <v>225.0</v>
      </c>
      <c r="D1789">
        <v>3.0</v>
      </c>
      <c r="E1789">
        <v>9.949999999999989</v>
      </c>
      <c r="F1789">
        <v>5.0</v>
      </c>
      <c r="G1789">
        <v>2.0</v>
      </c>
      <c r="H1789">
        <v>10.0</v>
      </c>
      <c r="I1789">
        <v>148.0</v>
      </c>
      <c r="J1789">
        <v>469.9</v>
      </c>
      <c r="K1789">
        <v>1442.593</v>
      </c>
      <c r="L1789">
        <v>14.42593</v>
      </c>
      <c r="M1789">
        <v>307.0</v>
      </c>
      <c r="N1789" t="s">
        <v>187</v>
      </c>
      <c r="O1789" t="s">
        <v>3009</v>
      </c>
      <c r="P1789" t="s">
        <v>823</v>
      </c>
    </row>
    <row r="1790" ht="15.75" customHeight="1">
      <c r="A1790">
        <v>1804.0</v>
      </c>
      <c r="B1790">
        <v>140.0</v>
      </c>
      <c r="C1790">
        <v>85.0</v>
      </c>
      <c r="D1790">
        <v>3.0</v>
      </c>
      <c r="E1790">
        <v>3.899999999999991</v>
      </c>
      <c r="F1790">
        <v>2.0</v>
      </c>
      <c r="G1790">
        <v>3.0</v>
      </c>
      <c r="H1790">
        <v>6.0</v>
      </c>
      <c r="I1790">
        <v>84.0</v>
      </c>
      <c r="J1790">
        <v>266.7</v>
      </c>
      <c r="K1790">
        <v>808.1009999999999</v>
      </c>
      <c r="L1790">
        <v>13.46835</v>
      </c>
      <c r="M1790">
        <v>303.0</v>
      </c>
      <c r="N1790" t="s">
        <v>187</v>
      </c>
      <c r="O1790" t="s">
        <v>3010</v>
      </c>
      <c r="P1790" t="s">
        <v>823</v>
      </c>
    </row>
    <row r="1791" ht="15.75" customHeight="1">
      <c r="A1791">
        <v>1805.0</v>
      </c>
      <c r="B1791">
        <v>135.0</v>
      </c>
      <c r="C1791">
        <v>163.0</v>
      </c>
      <c r="D1791">
        <v>3.0</v>
      </c>
      <c r="E1791">
        <v>3.6875</v>
      </c>
      <c r="F1791">
        <v>2.0</v>
      </c>
      <c r="G1791">
        <v>2.0</v>
      </c>
      <c r="H1791">
        <v>4.0</v>
      </c>
      <c r="I1791">
        <v>105.0</v>
      </c>
      <c r="J1791">
        <v>333.375</v>
      </c>
      <c r="K1791">
        <v>976.78875</v>
      </c>
      <c r="L1791">
        <v>24.41971875</v>
      </c>
      <c r="M1791">
        <v>293.0</v>
      </c>
      <c r="N1791" t="s">
        <v>187</v>
      </c>
      <c r="O1791" t="s">
        <v>3011</v>
      </c>
      <c r="P1791" t="s">
        <v>823</v>
      </c>
    </row>
    <row r="1792" ht="15.75" customHeight="1">
      <c r="A1792">
        <v>1806.0</v>
      </c>
      <c r="B1792">
        <v>20.0</v>
      </c>
      <c r="C1792">
        <v>60.0</v>
      </c>
      <c r="D1792">
        <v>3.0</v>
      </c>
      <c r="E1792">
        <v>4.769999999999996</v>
      </c>
      <c r="F1792">
        <v>10.0</v>
      </c>
      <c r="G1792">
        <v>5.0</v>
      </c>
      <c r="H1792">
        <v>50.0</v>
      </c>
      <c r="I1792">
        <v>102.0</v>
      </c>
      <c r="J1792">
        <v>323.85</v>
      </c>
      <c r="K1792">
        <v>799.9095</v>
      </c>
      <c r="L1792">
        <v>1.599819</v>
      </c>
      <c r="M1792">
        <v>247.0</v>
      </c>
      <c r="N1792" t="s">
        <v>187</v>
      </c>
      <c r="O1792" t="s">
        <v>3012</v>
      </c>
      <c r="P1792" t="s">
        <v>823</v>
      </c>
    </row>
    <row r="1793" ht="15.75" customHeight="1">
      <c r="A1793">
        <v>1807.0</v>
      </c>
      <c r="B1793">
        <v>98.0</v>
      </c>
      <c r="C1793">
        <v>396.5</v>
      </c>
      <c r="D1793">
        <v>3.0</v>
      </c>
      <c r="E1793">
        <v>3.549999999999955</v>
      </c>
      <c r="F1793">
        <v>3.0</v>
      </c>
      <c r="G1793">
        <v>1.0</v>
      </c>
      <c r="H1793">
        <v>3.0</v>
      </c>
      <c r="I1793">
        <v>126.0</v>
      </c>
      <c r="J1793">
        <v>400.05</v>
      </c>
      <c r="K1793">
        <v>1280.16</v>
      </c>
      <c r="L1793">
        <v>42.67199999999998</v>
      </c>
      <c r="M1793">
        <v>320.0</v>
      </c>
      <c r="N1793" t="s">
        <v>187</v>
      </c>
      <c r="O1793" t="s">
        <v>3013</v>
      </c>
      <c r="P1793" t="s">
        <v>823</v>
      </c>
    </row>
    <row r="1794" ht="15.75" customHeight="1">
      <c r="A1794">
        <v>1808.0</v>
      </c>
      <c r="B1794">
        <v>85.0</v>
      </c>
      <c r="C1794">
        <v>130.0</v>
      </c>
      <c r="D1794">
        <v>3.0</v>
      </c>
      <c r="E1794">
        <v>3.349999999999994</v>
      </c>
      <c r="F1794">
        <v>3.0</v>
      </c>
      <c r="G1794">
        <v>2.0</v>
      </c>
      <c r="H1794">
        <v>6.0</v>
      </c>
      <c r="I1794">
        <v>84.0</v>
      </c>
      <c r="J1794">
        <v>266.7</v>
      </c>
      <c r="K1794">
        <v>749.427</v>
      </c>
      <c r="L1794">
        <v>12.49045</v>
      </c>
      <c r="M1794">
        <v>281.0</v>
      </c>
      <c r="N1794" t="s">
        <v>187</v>
      </c>
      <c r="O1794" t="s">
        <v>3014</v>
      </c>
      <c r="P1794" t="s">
        <v>823</v>
      </c>
    </row>
    <row r="1795" ht="15.75" customHeight="1">
      <c r="A1795">
        <v>1809.0</v>
      </c>
      <c r="B1795">
        <v>10.0</v>
      </c>
      <c r="C1795">
        <v>135.0</v>
      </c>
      <c r="D1795">
        <v>3.0</v>
      </c>
      <c r="E1795">
        <v>4.699999999999989</v>
      </c>
      <c r="F1795">
        <v>13.0</v>
      </c>
      <c r="G1795">
        <v>2.0</v>
      </c>
      <c r="H1795">
        <v>26.0</v>
      </c>
      <c r="I1795">
        <v>88.0</v>
      </c>
      <c r="J1795">
        <v>279.4</v>
      </c>
      <c r="K1795">
        <v>519.684</v>
      </c>
      <c r="L1795">
        <v>1.998784615384615</v>
      </c>
      <c r="M1795">
        <v>186.0</v>
      </c>
      <c r="N1795" t="s">
        <v>187</v>
      </c>
      <c r="O1795" t="s">
        <v>3015</v>
      </c>
      <c r="P1795" t="s">
        <v>823</v>
      </c>
    </row>
    <row r="1796" ht="15.75" customHeight="1">
      <c r="A1796">
        <v>1810.0</v>
      </c>
      <c r="B1796">
        <v>220.0</v>
      </c>
      <c r="C1796">
        <v>165.0</v>
      </c>
      <c r="D1796">
        <v>3.0</v>
      </c>
      <c r="E1796">
        <v>6.449999999999989</v>
      </c>
      <c r="F1796">
        <v>1.0</v>
      </c>
      <c r="G1796">
        <v>2.0</v>
      </c>
      <c r="H1796">
        <v>2.0</v>
      </c>
      <c r="I1796">
        <v>108.0</v>
      </c>
      <c r="J1796">
        <v>342.9</v>
      </c>
      <c r="K1796">
        <v>822.96</v>
      </c>
      <c r="L1796">
        <v>41.148</v>
      </c>
      <c r="M1796">
        <v>240.0</v>
      </c>
      <c r="N1796" t="s">
        <v>187</v>
      </c>
      <c r="O1796" t="s">
        <v>3016</v>
      </c>
      <c r="P1796" t="s">
        <v>823</v>
      </c>
    </row>
    <row r="1797" ht="15.75" customHeight="1">
      <c r="A1797">
        <v>1811.0</v>
      </c>
      <c r="B1797">
        <v>65.0</v>
      </c>
      <c r="C1797">
        <v>65.0</v>
      </c>
      <c r="D1797">
        <v>3.0</v>
      </c>
      <c r="E1797">
        <v>3.579999999999998</v>
      </c>
      <c r="F1797">
        <v>4.0</v>
      </c>
      <c r="G1797">
        <v>5.0</v>
      </c>
      <c r="H1797">
        <v>20.0</v>
      </c>
      <c r="I1797">
        <v>108.0</v>
      </c>
      <c r="J1797">
        <v>342.9</v>
      </c>
      <c r="K1797">
        <v>990.9809999999999</v>
      </c>
      <c r="L1797">
        <v>4.954905</v>
      </c>
      <c r="M1797">
        <v>289.0</v>
      </c>
      <c r="N1797" t="s">
        <v>187</v>
      </c>
      <c r="O1797" t="s">
        <v>3017</v>
      </c>
      <c r="P1797" t="s">
        <v>823</v>
      </c>
    </row>
    <row r="1798" ht="15.75" customHeight="1">
      <c r="A1798">
        <v>1812.0</v>
      </c>
      <c r="B1798">
        <v>68.0</v>
      </c>
      <c r="C1798">
        <v>150.0</v>
      </c>
      <c r="D1798">
        <v>3.0</v>
      </c>
      <c r="E1798">
        <v>5.574999999999989</v>
      </c>
      <c r="F1798">
        <v>4.0</v>
      </c>
      <c r="G1798">
        <v>2.0</v>
      </c>
      <c r="H1798">
        <v>8.0</v>
      </c>
      <c r="I1798">
        <v>98.0</v>
      </c>
      <c r="J1798">
        <v>311.15</v>
      </c>
      <c r="K1798">
        <v>936.5614999999999</v>
      </c>
      <c r="L1798">
        <v>11.70701875</v>
      </c>
      <c r="M1798">
        <v>301.0</v>
      </c>
      <c r="N1798" t="s">
        <v>187</v>
      </c>
      <c r="O1798" t="s">
        <v>3018</v>
      </c>
      <c r="P1798" t="s">
        <v>823</v>
      </c>
    </row>
    <row r="1799" ht="15.75" customHeight="1">
      <c r="A1799">
        <v>1813.0</v>
      </c>
      <c r="B1799">
        <v>100.0</v>
      </c>
      <c r="C1799">
        <v>90.0</v>
      </c>
      <c r="D1799">
        <v>3.0</v>
      </c>
      <c r="E1799">
        <v>3.133333333333326</v>
      </c>
      <c r="F1799">
        <v>8.0</v>
      </c>
      <c r="G1799">
        <v>3.0</v>
      </c>
      <c r="H1799">
        <v>24.0</v>
      </c>
      <c r="I1799">
        <v>88.0</v>
      </c>
      <c r="J1799">
        <v>279.4</v>
      </c>
      <c r="K1799">
        <v>2349.754</v>
      </c>
      <c r="L1799">
        <v>9.790641666666666</v>
      </c>
      <c r="M1799">
        <v>841.0</v>
      </c>
      <c r="N1799" t="s">
        <v>187</v>
      </c>
      <c r="O1799" t="s">
        <v>3019</v>
      </c>
      <c r="P1799" t="s">
        <v>823</v>
      </c>
    </row>
    <row r="1800" ht="15.75" customHeight="1">
      <c r="A1800">
        <v>1814.0</v>
      </c>
      <c r="B1800">
        <v>90.0</v>
      </c>
      <c r="C1800">
        <v>230.0</v>
      </c>
      <c r="D1800">
        <v>3.0</v>
      </c>
      <c r="E1800">
        <v>4.949999999999989</v>
      </c>
      <c r="F1800">
        <v>4.0</v>
      </c>
      <c r="G1800">
        <v>2.0</v>
      </c>
      <c r="H1800">
        <v>8.0</v>
      </c>
      <c r="I1800">
        <v>148.0</v>
      </c>
      <c r="J1800">
        <v>469.9</v>
      </c>
      <c r="K1800">
        <v>1827.911</v>
      </c>
      <c r="L1800">
        <v>22.8488875</v>
      </c>
      <c r="M1800">
        <v>389.0</v>
      </c>
      <c r="N1800" t="s">
        <v>187</v>
      </c>
      <c r="O1800" t="s">
        <v>3020</v>
      </c>
      <c r="P1800" t="s">
        <v>823</v>
      </c>
    </row>
    <row r="1801" ht="15.75" customHeight="1">
      <c r="A1801">
        <v>1815.0</v>
      </c>
      <c r="B1801">
        <v>10.0</v>
      </c>
      <c r="C1801">
        <v>97.0</v>
      </c>
      <c r="D1801">
        <v>3.0</v>
      </c>
      <c r="E1801">
        <v>4.59999999999998</v>
      </c>
      <c r="F1801">
        <v>14.0</v>
      </c>
      <c r="G1801">
        <v>3.0</v>
      </c>
      <c r="H1801">
        <v>42.0</v>
      </c>
      <c r="I1801">
        <v>96.0</v>
      </c>
      <c r="J1801">
        <v>304.8</v>
      </c>
      <c r="K1801">
        <v>606.5519999999999</v>
      </c>
      <c r="L1801">
        <v>1.444171428571428</v>
      </c>
      <c r="M1801">
        <v>199.0</v>
      </c>
      <c r="N1801" t="s">
        <v>187</v>
      </c>
      <c r="O1801" t="s">
        <v>3021</v>
      </c>
      <c r="P1801" t="s">
        <v>823</v>
      </c>
    </row>
    <row r="1802" ht="15.75" customHeight="1">
      <c r="A1802">
        <v>1816.0</v>
      </c>
      <c r="B1802">
        <v>39.47</v>
      </c>
      <c r="C1802">
        <v>74.946</v>
      </c>
      <c r="D1802">
        <v>3.0</v>
      </c>
      <c r="E1802">
        <v>2.841499999999996</v>
      </c>
      <c r="F1802">
        <v>7.0</v>
      </c>
      <c r="G1802">
        <v>4.0</v>
      </c>
      <c r="H1802">
        <v>28.0</v>
      </c>
      <c r="I1802">
        <v>98.0</v>
      </c>
      <c r="J1802">
        <v>311.15</v>
      </c>
      <c r="K1802">
        <v>977.9133349999997</v>
      </c>
      <c r="L1802">
        <v>3.492547624999999</v>
      </c>
      <c r="M1802">
        <v>314.29</v>
      </c>
      <c r="N1802" t="s">
        <v>187</v>
      </c>
      <c r="O1802" t="s">
        <v>3022</v>
      </c>
      <c r="P1802" t="s">
        <v>823</v>
      </c>
    </row>
    <row r="1803" ht="15.75" customHeight="1">
      <c r="A1803">
        <v>1817.0</v>
      </c>
      <c r="B1803">
        <v>90.0</v>
      </c>
      <c r="C1803">
        <v>240.0</v>
      </c>
      <c r="D1803">
        <v>3.0</v>
      </c>
      <c r="E1803">
        <v>2.887499999999989</v>
      </c>
      <c r="F1803">
        <v>3.0</v>
      </c>
      <c r="G1803">
        <v>2.0</v>
      </c>
      <c r="H1803">
        <v>6.0</v>
      </c>
      <c r="I1803">
        <v>153.0</v>
      </c>
      <c r="J1803">
        <v>485.775</v>
      </c>
      <c r="K1803">
        <v>1437.894</v>
      </c>
      <c r="L1803">
        <v>23.9649</v>
      </c>
      <c r="M1803">
        <v>296.0</v>
      </c>
      <c r="N1803" t="s">
        <v>187</v>
      </c>
      <c r="O1803" t="s">
        <v>3023</v>
      </c>
      <c r="P1803" t="s">
        <v>823</v>
      </c>
    </row>
    <row r="1804" ht="15.75" customHeight="1">
      <c r="A1804">
        <v>1818.0</v>
      </c>
      <c r="B1804">
        <v>90.0</v>
      </c>
      <c r="C1804">
        <v>217.5</v>
      </c>
      <c r="D1804">
        <v>3.0</v>
      </c>
      <c r="E1804">
        <v>9.512499999999989</v>
      </c>
      <c r="F1804">
        <v>2.0</v>
      </c>
      <c r="G1804">
        <v>2.0</v>
      </c>
      <c r="H1804">
        <v>4.0</v>
      </c>
      <c r="I1804">
        <v>143.0</v>
      </c>
      <c r="J1804">
        <v>454.025</v>
      </c>
      <c r="K1804">
        <v>921.67075</v>
      </c>
      <c r="L1804">
        <v>23.04176875</v>
      </c>
      <c r="M1804">
        <v>203.0</v>
      </c>
      <c r="N1804" t="s">
        <v>187</v>
      </c>
      <c r="O1804" t="s">
        <v>3024</v>
      </c>
      <c r="P1804" t="s">
        <v>823</v>
      </c>
    </row>
    <row r="1805" ht="15.75" customHeight="1">
      <c r="A1805">
        <v>1819.0</v>
      </c>
      <c r="B1805">
        <v>125.0</v>
      </c>
      <c r="C1805">
        <v>295.0</v>
      </c>
      <c r="D1805">
        <v>3.0</v>
      </c>
      <c r="E1805">
        <v>9.799999999999955</v>
      </c>
      <c r="F1805">
        <v>2.0</v>
      </c>
      <c r="G1805">
        <v>1.0</v>
      </c>
      <c r="H1805">
        <v>2.0</v>
      </c>
      <c r="I1805">
        <v>96.0</v>
      </c>
      <c r="J1805">
        <v>304.8</v>
      </c>
      <c r="K1805">
        <v>832.1039999999999</v>
      </c>
      <c r="L1805">
        <v>41.6052</v>
      </c>
      <c r="M1805">
        <v>273.0</v>
      </c>
      <c r="N1805" t="s">
        <v>187</v>
      </c>
      <c r="O1805" t="s">
        <v>3025</v>
      </c>
      <c r="P1805" t="s">
        <v>823</v>
      </c>
    </row>
    <row r="1806" ht="15.75" customHeight="1">
      <c r="A1806">
        <v>1820.0</v>
      </c>
      <c r="B1806">
        <v>60.0</v>
      </c>
      <c r="C1806">
        <v>220.0</v>
      </c>
      <c r="D1806">
        <v>3.0</v>
      </c>
      <c r="E1806">
        <v>7.012499999999989</v>
      </c>
      <c r="F1806">
        <v>6.0</v>
      </c>
      <c r="G1806">
        <v>2.0</v>
      </c>
      <c r="H1806">
        <v>12.0</v>
      </c>
      <c r="I1806">
        <v>143.0</v>
      </c>
      <c r="J1806">
        <v>454.025</v>
      </c>
      <c r="K1806">
        <v>1793.39875</v>
      </c>
      <c r="L1806">
        <v>14.94498958333333</v>
      </c>
      <c r="M1806">
        <v>395.0</v>
      </c>
      <c r="N1806" t="s">
        <v>187</v>
      </c>
      <c r="O1806" t="s">
        <v>3026</v>
      </c>
      <c r="P1806" t="s">
        <v>823</v>
      </c>
    </row>
    <row r="1807" ht="15.75" customHeight="1">
      <c r="A1807">
        <v>1821.0</v>
      </c>
      <c r="B1807">
        <v>30.0</v>
      </c>
      <c r="C1807">
        <v>74.0</v>
      </c>
      <c r="D1807">
        <v>3.0</v>
      </c>
      <c r="E1807">
        <v>3.787499999999994</v>
      </c>
      <c r="F1807">
        <v>9.0</v>
      </c>
      <c r="G1807">
        <v>4.0</v>
      </c>
      <c r="H1807">
        <v>36.0</v>
      </c>
      <c r="I1807">
        <v>98.0</v>
      </c>
      <c r="J1807">
        <v>311.15</v>
      </c>
      <c r="K1807">
        <v>977.011</v>
      </c>
      <c r="L1807">
        <v>2.713919444444445</v>
      </c>
      <c r="M1807">
        <v>314.0</v>
      </c>
      <c r="N1807" t="s">
        <v>187</v>
      </c>
      <c r="O1807" t="s">
        <v>3027</v>
      </c>
      <c r="P1807" t="s">
        <v>823</v>
      </c>
    </row>
    <row r="1808" ht="15.75" customHeight="1">
      <c r="A1808">
        <v>1822.0</v>
      </c>
      <c r="B1808">
        <v>74.0</v>
      </c>
      <c r="C1808">
        <v>150.0</v>
      </c>
      <c r="D1808">
        <v>3.0</v>
      </c>
      <c r="E1808">
        <v>5.574999999999989</v>
      </c>
      <c r="F1808">
        <v>4.0</v>
      </c>
      <c r="G1808">
        <v>2.0</v>
      </c>
      <c r="H1808">
        <v>8.0</v>
      </c>
      <c r="I1808">
        <v>98.0</v>
      </c>
      <c r="J1808">
        <v>311.15</v>
      </c>
      <c r="K1808">
        <v>1011.2375</v>
      </c>
      <c r="L1808">
        <v>12.64046875</v>
      </c>
      <c r="M1808">
        <v>325.0</v>
      </c>
      <c r="N1808" t="s">
        <v>187</v>
      </c>
      <c r="O1808" t="s">
        <v>3028</v>
      </c>
      <c r="P1808" t="s">
        <v>823</v>
      </c>
    </row>
    <row r="1809" ht="15.75" customHeight="1">
      <c r="A1809">
        <v>1823.0</v>
      </c>
      <c r="B1809">
        <v>60.0</v>
      </c>
      <c r="C1809">
        <v>156.0</v>
      </c>
      <c r="D1809">
        <v>3.0</v>
      </c>
      <c r="E1809">
        <v>5.924999999999983</v>
      </c>
      <c r="F1809">
        <v>5.0</v>
      </c>
      <c r="G1809">
        <v>2.0</v>
      </c>
      <c r="H1809">
        <v>10.0</v>
      </c>
      <c r="I1809">
        <v>102.0</v>
      </c>
      <c r="J1809">
        <v>323.85</v>
      </c>
      <c r="K1809">
        <v>1075.182</v>
      </c>
      <c r="L1809">
        <v>10.75182</v>
      </c>
      <c r="M1809">
        <v>332.0</v>
      </c>
      <c r="N1809" t="s">
        <v>187</v>
      </c>
      <c r="O1809" t="s">
        <v>3029</v>
      </c>
      <c r="P1809" t="s">
        <v>823</v>
      </c>
    </row>
    <row r="1810" ht="15.75" customHeight="1">
      <c r="A1810">
        <v>1824.0</v>
      </c>
      <c r="B1810">
        <v>35.0</v>
      </c>
      <c r="C1810">
        <v>147.0</v>
      </c>
      <c r="D1810">
        <v>3.0</v>
      </c>
      <c r="E1810">
        <v>4.341666666666669</v>
      </c>
      <c r="F1810">
        <v>4.0</v>
      </c>
      <c r="G1810">
        <v>3.0</v>
      </c>
      <c r="H1810">
        <v>12.0</v>
      </c>
      <c r="I1810">
        <v>143.0</v>
      </c>
      <c r="J1810">
        <v>454.025</v>
      </c>
      <c r="K1810">
        <v>767.30225</v>
      </c>
      <c r="L1810">
        <v>6.394185416666665</v>
      </c>
      <c r="M1810">
        <v>169.0</v>
      </c>
      <c r="N1810" t="s">
        <v>187</v>
      </c>
      <c r="O1810" t="s">
        <v>3030</v>
      </c>
      <c r="P1810" t="s">
        <v>823</v>
      </c>
    </row>
    <row r="1811" ht="15.75" customHeight="1">
      <c r="A1811">
        <v>1825.0</v>
      </c>
      <c r="B1811">
        <v>40.0</v>
      </c>
      <c r="C1811">
        <v>276.0</v>
      </c>
      <c r="D1811">
        <v>3.0</v>
      </c>
      <c r="E1811">
        <v>3.399999999999977</v>
      </c>
      <c r="F1811">
        <v>5.0</v>
      </c>
      <c r="G1811">
        <v>1.0</v>
      </c>
      <c r="H1811">
        <v>5.0</v>
      </c>
      <c r="I1811">
        <v>88.0</v>
      </c>
      <c r="J1811">
        <v>279.4</v>
      </c>
      <c r="K1811">
        <v>648.208</v>
      </c>
      <c r="L1811">
        <v>12.96416</v>
      </c>
      <c r="M1811">
        <v>232.0</v>
      </c>
      <c r="N1811" t="s">
        <v>187</v>
      </c>
      <c r="O1811" t="s">
        <v>3031</v>
      </c>
      <c r="P1811" t="s">
        <v>823</v>
      </c>
    </row>
    <row r="1812" ht="15.75" customHeight="1">
      <c r="A1812">
        <v>1826.0</v>
      </c>
      <c r="B1812">
        <v>141.0</v>
      </c>
      <c r="C1812">
        <v>110.0</v>
      </c>
      <c r="D1812">
        <v>3.0</v>
      </c>
      <c r="E1812">
        <v>4.299999999999997</v>
      </c>
      <c r="F1812">
        <v>2.0</v>
      </c>
      <c r="G1812">
        <v>3.0</v>
      </c>
      <c r="H1812">
        <v>6.0</v>
      </c>
      <c r="I1812">
        <v>108.0</v>
      </c>
      <c r="J1812">
        <v>342.9</v>
      </c>
      <c r="K1812">
        <v>1045.845</v>
      </c>
      <c r="L1812">
        <v>17.43075</v>
      </c>
      <c r="M1812">
        <v>305.0</v>
      </c>
      <c r="N1812" t="s">
        <v>187</v>
      </c>
      <c r="O1812" t="s">
        <v>3032</v>
      </c>
      <c r="P1812" t="s">
        <v>823</v>
      </c>
    </row>
    <row r="1813" ht="15.75" customHeight="1">
      <c r="A1813">
        <v>1827.0</v>
      </c>
      <c r="B1813">
        <v>54.0</v>
      </c>
      <c r="C1813">
        <v>406.0</v>
      </c>
      <c r="D1813">
        <v>3.0</v>
      </c>
      <c r="E1813">
        <v>0.3999999999999773</v>
      </c>
      <c r="F1813">
        <v>6.0</v>
      </c>
      <c r="G1813">
        <v>1.0</v>
      </c>
      <c r="H1813">
        <v>6.0</v>
      </c>
      <c r="I1813">
        <v>128.0</v>
      </c>
      <c r="J1813">
        <v>406.4</v>
      </c>
      <c r="K1813">
        <v>1458.976</v>
      </c>
      <c r="L1813">
        <v>24.31626666666666</v>
      </c>
      <c r="M1813">
        <v>359.0</v>
      </c>
      <c r="N1813" t="s">
        <v>187</v>
      </c>
      <c r="O1813" t="s">
        <v>3033</v>
      </c>
      <c r="P1813" t="s">
        <v>823</v>
      </c>
    </row>
    <row r="1814" ht="15.75" customHeight="1">
      <c r="A1814">
        <v>1829.0</v>
      </c>
      <c r="B1814">
        <v>116.0</v>
      </c>
      <c r="C1814">
        <v>154.0</v>
      </c>
      <c r="D1814">
        <v>3.0</v>
      </c>
      <c r="E1814">
        <v>7.924999999999983</v>
      </c>
      <c r="F1814">
        <v>2.0</v>
      </c>
      <c r="G1814">
        <v>2.0</v>
      </c>
      <c r="H1814">
        <v>4.0</v>
      </c>
      <c r="I1814">
        <v>102.0</v>
      </c>
      <c r="J1814">
        <v>323.85</v>
      </c>
      <c r="K1814">
        <v>825.8174999999999</v>
      </c>
      <c r="L1814">
        <v>20.6454375</v>
      </c>
      <c r="M1814">
        <v>255.0</v>
      </c>
      <c r="N1814" t="s">
        <v>187</v>
      </c>
      <c r="O1814" t="s">
        <v>3034</v>
      </c>
      <c r="P1814" t="s">
        <v>823</v>
      </c>
    </row>
    <row r="1815" ht="15.75" customHeight="1">
      <c r="A1815">
        <v>1830.0</v>
      </c>
      <c r="B1815">
        <v>192.0</v>
      </c>
      <c r="C1815">
        <v>100.0</v>
      </c>
      <c r="D1815">
        <v>3.0</v>
      </c>
      <c r="E1815">
        <v>3.716666666666654</v>
      </c>
      <c r="F1815">
        <v>1.0</v>
      </c>
      <c r="G1815">
        <v>3.0</v>
      </c>
      <c r="H1815">
        <v>3.0</v>
      </c>
      <c r="I1815">
        <v>98.0</v>
      </c>
      <c r="J1815">
        <v>311.15</v>
      </c>
      <c r="K1815">
        <v>659.6379999999999</v>
      </c>
      <c r="L1815">
        <v>21.98793333333333</v>
      </c>
      <c r="M1815">
        <v>212.0</v>
      </c>
      <c r="N1815" t="s">
        <v>187</v>
      </c>
      <c r="O1815" t="s">
        <v>3035</v>
      </c>
      <c r="P1815" t="s">
        <v>823</v>
      </c>
    </row>
    <row r="1816" ht="15.75" customHeight="1">
      <c r="A1816">
        <v>1831.0</v>
      </c>
      <c r="B1816">
        <v>28.0</v>
      </c>
      <c r="C1816">
        <v>230.0</v>
      </c>
      <c r="D1816">
        <v>3.0</v>
      </c>
      <c r="E1816">
        <v>4.949999999999989</v>
      </c>
      <c r="F1816">
        <v>8.0</v>
      </c>
      <c r="G1816">
        <v>2.0</v>
      </c>
      <c r="H1816">
        <v>16.0</v>
      </c>
      <c r="I1816">
        <v>148.0</v>
      </c>
      <c r="J1816">
        <v>469.9</v>
      </c>
      <c r="K1816">
        <v>1245.235</v>
      </c>
      <c r="L1816">
        <v>7.78271875</v>
      </c>
      <c r="M1816">
        <v>265.0</v>
      </c>
      <c r="N1816" t="s">
        <v>187</v>
      </c>
      <c r="O1816" t="s">
        <v>3036</v>
      </c>
      <c r="P1816" t="s">
        <v>823</v>
      </c>
    </row>
    <row r="1817" ht="15.75" customHeight="1">
      <c r="A1817">
        <v>1832.0</v>
      </c>
      <c r="B1817">
        <v>115.0</v>
      </c>
      <c r="C1817">
        <v>200.0</v>
      </c>
      <c r="D1817">
        <v>3.0</v>
      </c>
      <c r="E1817">
        <v>9.549999999999983</v>
      </c>
      <c r="F1817">
        <v>3.0</v>
      </c>
      <c r="G1817">
        <v>2.0</v>
      </c>
      <c r="H1817">
        <v>6.0</v>
      </c>
      <c r="I1817">
        <v>132.0</v>
      </c>
      <c r="J1817">
        <v>419.1</v>
      </c>
      <c r="K1817">
        <v>1554.861</v>
      </c>
      <c r="L1817">
        <v>25.91435</v>
      </c>
      <c r="M1817">
        <v>371.0</v>
      </c>
      <c r="N1817" t="s">
        <v>187</v>
      </c>
      <c r="O1817" t="s">
        <v>3037</v>
      </c>
      <c r="P1817" t="s">
        <v>823</v>
      </c>
    </row>
    <row r="1818" ht="15.75" customHeight="1">
      <c r="A1818">
        <v>1833.0</v>
      </c>
      <c r="B1818">
        <v>65.0</v>
      </c>
      <c r="C1818">
        <v>187.0</v>
      </c>
      <c r="D1818">
        <v>3.0</v>
      </c>
      <c r="E1818">
        <v>3.5</v>
      </c>
      <c r="F1818">
        <v>5.0</v>
      </c>
      <c r="G1818">
        <v>2.0</v>
      </c>
      <c r="H1818">
        <v>10.0</v>
      </c>
      <c r="I1818">
        <v>120.0</v>
      </c>
      <c r="J1818">
        <v>381.0</v>
      </c>
      <c r="K1818">
        <v>1360.17</v>
      </c>
      <c r="L1818">
        <v>13.6017</v>
      </c>
      <c r="M1818">
        <v>357.0</v>
      </c>
      <c r="N1818" t="s">
        <v>187</v>
      </c>
      <c r="O1818" t="s">
        <v>3038</v>
      </c>
      <c r="P1818" t="s">
        <v>823</v>
      </c>
    </row>
    <row r="1819" ht="15.75" customHeight="1">
      <c r="A1819">
        <v>1834.0</v>
      </c>
      <c r="B1819">
        <v>70.0</v>
      </c>
      <c r="C1819">
        <v>60.0</v>
      </c>
      <c r="D1819">
        <v>3.0</v>
      </c>
      <c r="E1819">
        <v>3.5</v>
      </c>
      <c r="F1819">
        <v>4.0</v>
      </c>
      <c r="G1819">
        <v>6.0</v>
      </c>
      <c r="H1819">
        <v>24.0</v>
      </c>
      <c r="I1819">
        <v>120.0</v>
      </c>
      <c r="J1819">
        <v>381.0</v>
      </c>
      <c r="K1819">
        <v>1177.29</v>
      </c>
      <c r="L1819">
        <v>4.905375</v>
      </c>
      <c r="M1819">
        <v>309.0</v>
      </c>
      <c r="N1819" t="s">
        <v>187</v>
      </c>
      <c r="O1819" t="s">
        <v>3039</v>
      </c>
      <c r="P1819" t="s">
        <v>823</v>
      </c>
    </row>
    <row r="1820" ht="15.75" customHeight="1">
      <c r="A1820">
        <v>1835.0</v>
      </c>
      <c r="B1820">
        <v>96.0</v>
      </c>
      <c r="C1820">
        <v>403.0</v>
      </c>
      <c r="D1820">
        <v>3.0</v>
      </c>
      <c r="E1820">
        <v>16.09999999999997</v>
      </c>
      <c r="F1820">
        <v>2.0</v>
      </c>
      <c r="G1820">
        <v>1.0</v>
      </c>
      <c r="H1820">
        <v>2.0</v>
      </c>
      <c r="I1820">
        <v>132.0</v>
      </c>
      <c r="J1820">
        <v>419.1</v>
      </c>
      <c r="K1820">
        <v>901.0649999999998</v>
      </c>
      <c r="L1820">
        <v>45.05324999999999</v>
      </c>
      <c r="M1820">
        <v>215.0</v>
      </c>
      <c r="N1820" t="s">
        <v>187</v>
      </c>
      <c r="O1820" t="s">
        <v>3040</v>
      </c>
      <c r="P1820" t="s">
        <v>823</v>
      </c>
    </row>
    <row r="1821" ht="15.75" customHeight="1">
      <c r="A1821">
        <v>1836.0</v>
      </c>
      <c r="B1821">
        <v>90.0</v>
      </c>
      <c r="C1821">
        <v>140.0</v>
      </c>
      <c r="D1821">
        <v>3.0</v>
      </c>
      <c r="E1821">
        <v>2.875</v>
      </c>
      <c r="F1821">
        <v>3.0</v>
      </c>
      <c r="G1821">
        <v>2.0</v>
      </c>
      <c r="H1821">
        <v>6.0</v>
      </c>
      <c r="I1821">
        <v>90.0</v>
      </c>
      <c r="J1821">
        <v>285.75</v>
      </c>
      <c r="K1821">
        <v>845.82</v>
      </c>
      <c r="L1821">
        <v>14.097</v>
      </c>
      <c r="M1821">
        <v>296.0</v>
      </c>
      <c r="N1821" t="s">
        <v>187</v>
      </c>
      <c r="O1821" t="s">
        <v>3041</v>
      </c>
      <c r="P1821" t="s">
        <v>823</v>
      </c>
    </row>
    <row r="1822" ht="15.75" customHeight="1">
      <c r="A1822">
        <v>1837.0</v>
      </c>
      <c r="B1822">
        <v>38.0</v>
      </c>
      <c r="C1822">
        <v>70.0</v>
      </c>
      <c r="D1822">
        <v>3.0</v>
      </c>
      <c r="E1822">
        <v>6.199999999999989</v>
      </c>
      <c r="F1822">
        <v>6.0</v>
      </c>
      <c r="G1822">
        <v>4.0</v>
      </c>
      <c r="H1822">
        <v>24.0</v>
      </c>
      <c r="I1822">
        <v>96.0</v>
      </c>
      <c r="J1822">
        <v>304.8</v>
      </c>
      <c r="K1822">
        <v>801.6239999999999</v>
      </c>
      <c r="L1822">
        <v>3.3401</v>
      </c>
      <c r="M1822">
        <v>263.0</v>
      </c>
      <c r="N1822" t="s">
        <v>187</v>
      </c>
      <c r="O1822" t="s">
        <v>3042</v>
      </c>
      <c r="P1822" t="s">
        <v>823</v>
      </c>
    </row>
    <row r="1823" ht="15.75" customHeight="1">
      <c r="A1823">
        <v>1838.0</v>
      </c>
      <c r="B1823">
        <v>100.0</v>
      </c>
      <c r="C1823">
        <v>40.0</v>
      </c>
      <c r="D1823">
        <v>3.0</v>
      </c>
      <c r="E1823">
        <v>3.542857142857137</v>
      </c>
      <c r="F1823">
        <v>3.0</v>
      </c>
      <c r="G1823">
        <v>7.0</v>
      </c>
      <c r="H1823">
        <v>21.0</v>
      </c>
      <c r="I1823">
        <v>96.0</v>
      </c>
      <c r="J1823">
        <v>304.8</v>
      </c>
      <c r="K1823">
        <v>993.6479999999999</v>
      </c>
      <c r="L1823">
        <v>4.731657142857142</v>
      </c>
      <c r="M1823">
        <v>326.0</v>
      </c>
      <c r="N1823" t="s">
        <v>187</v>
      </c>
      <c r="O1823" t="s">
        <v>3043</v>
      </c>
      <c r="P1823" t="s">
        <v>823</v>
      </c>
    </row>
    <row r="1824" ht="15.75" customHeight="1">
      <c r="A1824">
        <v>1839.0</v>
      </c>
      <c r="B1824">
        <v>60.0</v>
      </c>
      <c r="C1824">
        <v>111.0</v>
      </c>
      <c r="D1824">
        <v>3.0</v>
      </c>
      <c r="E1824">
        <v>3.299999999999997</v>
      </c>
      <c r="F1824">
        <v>5.0</v>
      </c>
      <c r="G1824">
        <v>3.0</v>
      </c>
      <c r="H1824">
        <v>15.0</v>
      </c>
      <c r="I1824">
        <v>108.0</v>
      </c>
      <c r="J1824">
        <v>342.9</v>
      </c>
      <c r="K1824">
        <v>1138.428</v>
      </c>
      <c r="L1824">
        <v>7.589519999999999</v>
      </c>
      <c r="M1824">
        <v>332.0</v>
      </c>
      <c r="N1824" t="s">
        <v>187</v>
      </c>
      <c r="O1824" t="s">
        <v>3044</v>
      </c>
      <c r="P1824" t="s">
        <v>823</v>
      </c>
    </row>
    <row r="1825" ht="15.75" customHeight="1">
      <c r="A1825">
        <v>1840.0</v>
      </c>
      <c r="B1825">
        <v>35.0</v>
      </c>
      <c r="C1825">
        <v>94.0</v>
      </c>
      <c r="D1825">
        <v>3.0</v>
      </c>
      <c r="E1825">
        <v>7.59999999999998</v>
      </c>
      <c r="F1825">
        <v>8.0</v>
      </c>
      <c r="G1825">
        <v>3.0</v>
      </c>
      <c r="H1825">
        <v>24.0</v>
      </c>
      <c r="I1825">
        <v>96.0</v>
      </c>
      <c r="J1825">
        <v>304.8</v>
      </c>
      <c r="K1825">
        <v>978.4079999999999</v>
      </c>
      <c r="L1825">
        <v>4.0767</v>
      </c>
      <c r="M1825">
        <v>321.0</v>
      </c>
      <c r="N1825" t="s">
        <v>187</v>
      </c>
      <c r="O1825" t="s">
        <v>3045</v>
      </c>
      <c r="P1825" t="s">
        <v>823</v>
      </c>
    </row>
    <row r="1826" ht="15.75" customHeight="1">
      <c r="A1826">
        <v>1841.0</v>
      </c>
      <c r="B1826">
        <v>39.0</v>
      </c>
      <c r="C1826">
        <v>197.0</v>
      </c>
      <c r="D1826">
        <v>3.0</v>
      </c>
      <c r="E1826">
        <v>3.024999999999977</v>
      </c>
      <c r="F1826">
        <v>6.0</v>
      </c>
      <c r="G1826">
        <v>2.0</v>
      </c>
      <c r="H1826">
        <v>12.0</v>
      </c>
      <c r="I1826">
        <v>126.0</v>
      </c>
      <c r="J1826">
        <v>400.05</v>
      </c>
      <c r="K1826">
        <v>1076.1345</v>
      </c>
      <c r="L1826">
        <v>8.967787499999998</v>
      </c>
      <c r="M1826">
        <v>269.0</v>
      </c>
      <c r="N1826" t="s">
        <v>187</v>
      </c>
      <c r="O1826" t="s">
        <v>3046</v>
      </c>
      <c r="P1826" t="s">
        <v>823</v>
      </c>
    </row>
    <row r="1827" ht="15.75" customHeight="1">
      <c r="A1827">
        <v>1842.0</v>
      </c>
      <c r="B1827">
        <v>65.0</v>
      </c>
      <c r="C1827">
        <v>30.0</v>
      </c>
      <c r="D1827">
        <v>3.0</v>
      </c>
      <c r="E1827">
        <v>3.337499999999999</v>
      </c>
      <c r="F1827">
        <v>5.0</v>
      </c>
      <c r="G1827">
        <v>8.0</v>
      </c>
      <c r="H1827">
        <v>40.0</v>
      </c>
      <c r="I1827">
        <v>84.0</v>
      </c>
      <c r="J1827">
        <v>266.7</v>
      </c>
      <c r="K1827">
        <v>952.1189999999999</v>
      </c>
      <c r="L1827">
        <v>2.3802975</v>
      </c>
      <c r="M1827">
        <v>357.0</v>
      </c>
      <c r="N1827" t="s">
        <v>187</v>
      </c>
      <c r="O1827" t="s">
        <v>3047</v>
      </c>
      <c r="P1827" t="s">
        <v>823</v>
      </c>
    </row>
    <row r="1828" ht="15.75" customHeight="1">
      <c r="A1828">
        <v>1843.0</v>
      </c>
      <c r="B1828">
        <v>140.0</v>
      </c>
      <c r="C1828">
        <v>180.0</v>
      </c>
      <c r="D1828">
        <v>3.0</v>
      </c>
      <c r="E1828">
        <v>10.5</v>
      </c>
      <c r="F1828">
        <v>2.0</v>
      </c>
      <c r="G1828">
        <v>2.0</v>
      </c>
      <c r="H1828">
        <v>4.0</v>
      </c>
      <c r="I1828">
        <v>120.0</v>
      </c>
      <c r="J1828">
        <v>381.0</v>
      </c>
      <c r="K1828">
        <v>1154.43</v>
      </c>
      <c r="L1828">
        <v>28.86075</v>
      </c>
      <c r="M1828">
        <v>303.0</v>
      </c>
      <c r="N1828" t="s">
        <v>187</v>
      </c>
      <c r="O1828" t="s">
        <v>3048</v>
      </c>
      <c r="P1828" t="s">
        <v>823</v>
      </c>
    </row>
    <row r="1829" ht="15.75" customHeight="1">
      <c r="A1829">
        <v>1844.0</v>
      </c>
      <c r="B1829">
        <v>75.0</v>
      </c>
      <c r="C1829">
        <v>220.0</v>
      </c>
      <c r="D1829">
        <v>3.0</v>
      </c>
      <c r="E1829">
        <v>7.012499999999989</v>
      </c>
      <c r="F1829">
        <v>3.0</v>
      </c>
      <c r="G1829">
        <v>2.0</v>
      </c>
      <c r="H1829">
        <v>6.0</v>
      </c>
      <c r="I1829">
        <v>143.0</v>
      </c>
      <c r="J1829">
        <v>454.025</v>
      </c>
      <c r="K1829">
        <v>1139.60275</v>
      </c>
      <c r="L1829">
        <v>18.99337916666666</v>
      </c>
      <c r="M1829">
        <v>251.0</v>
      </c>
      <c r="N1829" t="s">
        <v>187</v>
      </c>
      <c r="O1829" t="s">
        <v>3049</v>
      </c>
      <c r="P1829" t="s">
        <v>823</v>
      </c>
    </row>
    <row r="1830" ht="15.75" customHeight="1">
      <c r="A1830" t="s">
        <v>3050</v>
      </c>
      <c r="B1830">
        <v>54.0</v>
      </c>
      <c r="C1830">
        <v>406.0</v>
      </c>
      <c r="D1830">
        <v>0.0</v>
      </c>
      <c r="E1830">
        <v>0.3999999999999773</v>
      </c>
      <c r="F1830">
        <v>4.0</v>
      </c>
      <c r="G1830">
        <v>1.0</v>
      </c>
      <c r="H1830">
        <v>4.0</v>
      </c>
      <c r="I1830">
        <v>128.0</v>
      </c>
      <c r="J1830">
        <v>406.4</v>
      </c>
      <c r="K1830">
        <v>946.9119999999999</v>
      </c>
      <c r="L1830">
        <v>23.6728</v>
      </c>
      <c r="M1830">
        <v>233.0</v>
      </c>
      <c r="N1830" t="s">
        <v>187</v>
      </c>
      <c r="O1830" t="s">
        <v>3051</v>
      </c>
      <c r="P1830" s="126" t="s">
        <v>3052</v>
      </c>
    </row>
  </sheetData>
  <printOptions/>
  <pageMargins bottom="1.0" footer="0.0" header="0.0" left="0.75" right="0.75" top="1.0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B050"/>
    <pageSetUpPr/>
  </sheetPr>
  <sheetViews>
    <sheetView workbookViewId="0"/>
  </sheetViews>
  <sheetFormatPr customHeight="1" defaultColWidth="14.43" defaultRowHeight="15.0"/>
  <cols>
    <col customWidth="1" min="1" max="21" width="15.0"/>
  </cols>
  <sheetData>
    <row r="3">
      <c r="C3" t="s">
        <v>3053</v>
      </c>
      <c r="E3" t="s">
        <v>3054</v>
      </c>
      <c r="F3" t="s">
        <v>3055</v>
      </c>
      <c r="G3" t="s">
        <v>3056</v>
      </c>
      <c r="H3" t="s">
        <v>3057</v>
      </c>
      <c r="I3" t="s">
        <v>3058</v>
      </c>
      <c r="J3" t="s">
        <v>3059</v>
      </c>
      <c r="K3" t="s">
        <v>3060</v>
      </c>
      <c r="L3" t="s">
        <v>3061</v>
      </c>
      <c r="M3" t="s">
        <v>3062</v>
      </c>
      <c r="N3" t="s">
        <v>3063</v>
      </c>
      <c r="O3" t="s">
        <v>3064</v>
      </c>
    </row>
    <row r="4">
      <c r="C4">
        <v>100000.0</v>
      </c>
      <c r="E4">
        <v>1844.0</v>
      </c>
      <c r="F4" t="e">
        <v>#N/A</v>
      </c>
      <c r="G4" t="e">
        <v>#N/A</v>
      </c>
      <c r="H4" t="str">
        <f>(G4*3.175)/1000</f>
        <v>#N/A</v>
      </c>
      <c r="I4" t="str">
        <f>C4/F4*H4</f>
        <v>#N/A</v>
      </c>
      <c r="J4">
        <v>7.0</v>
      </c>
      <c r="K4" t="str">
        <f>I4+(50*J4)</f>
        <v>#N/A</v>
      </c>
      <c r="L4">
        <v>2000.0</v>
      </c>
      <c r="M4" t="str">
        <f>K4/L4</f>
        <v>#N/A</v>
      </c>
      <c r="N4" t="str">
        <f>M4*50</f>
        <v>#N/A</v>
      </c>
      <c r="O4" t="str">
        <f>K4+N4</f>
        <v>#N/A</v>
      </c>
      <c r="R4">
        <v>50.0</v>
      </c>
    </row>
    <row r="7">
      <c r="C7" t="s">
        <v>3058</v>
      </c>
      <c r="E7" t="s">
        <v>3065</v>
      </c>
      <c r="F7" t="s">
        <v>3066</v>
      </c>
      <c r="G7" t="s">
        <v>3067</v>
      </c>
      <c r="H7" t="s">
        <v>3068</v>
      </c>
    </row>
    <row r="8">
      <c r="E8">
        <v>91.65</v>
      </c>
      <c r="F8">
        <v>3.0</v>
      </c>
      <c r="G8" t="str">
        <f>(E8+3)*F8+17</f>
        <v>300.95</v>
      </c>
      <c r="H8" t="str">
        <f>G8+20</f>
        <v>320.95</v>
      </c>
    </row>
    <row r="10">
      <c r="C10" t="s">
        <v>3069</v>
      </c>
      <c r="E10" t="s">
        <v>3070</v>
      </c>
      <c r="F10" t="s">
        <v>3056</v>
      </c>
      <c r="G10" t="s">
        <v>3057</v>
      </c>
      <c r="H10" t="s">
        <v>3071</v>
      </c>
      <c r="I10" t="s">
        <v>3069</v>
      </c>
    </row>
    <row r="11">
      <c r="E11">
        <v>125.119</v>
      </c>
      <c r="F11">
        <v>84.0</v>
      </c>
      <c r="G11" t="str">
        <f>F11*3.175</f>
        <v>266.7</v>
      </c>
      <c r="H11" t="str">
        <f>G11/(E11+2.4)</f>
        <v>2.091453038</v>
      </c>
      <c r="I11" t="str">
        <f>((H11)-TRUNC(H11))*(E11+2.4)/TRUNC(H11)+2.4</f>
        <v>8.231</v>
      </c>
    </row>
    <row r="13">
      <c r="E13" t="str">
        <f>E11</f>
        <v>125.119</v>
      </c>
      <c r="F13">
        <v>86.0</v>
      </c>
      <c r="G13" t="str">
        <f>F13*3.175</f>
        <v>273.05</v>
      </c>
      <c r="H13" t="str">
        <f>G13/(E13+2.4)</f>
        <v>2.141249539</v>
      </c>
      <c r="I13" t="str">
        <f>((H13)-TRUNC(H13))*(E13+2.4)/TRUNC(H13)+2.4</f>
        <v>11.406</v>
      </c>
    </row>
    <row r="15">
      <c r="E15" t="str">
        <f>E11</f>
        <v>125.119</v>
      </c>
      <c r="F15">
        <v>88.0</v>
      </c>
      <c r="G15" t="str">
        <f>F15*3.175</f>
        <v>279.4</v>
      </c>
      <c r="H15" t="str">
        <f>G15/(E15+2.4)</f>
        <v>2.19104604</v>
      </c>
      <c r="I15" t="str">
        <f>((H15)-TRUNC(H15))*(E15+2.4)/TRUNC(H15)+2.4</f>
        <v>14.581</v>
      </c>
    </row>
    <row r="17">
      <c r="E17" t="str">
        <f>E11</f>
        <v>125.119</v>
      </c>
      <c r="F17">
        <v>90.0</v>
      </c>
      <c r="G17" t="str">
        <f>F17*3.175</f>
        <v>285.75</v>
      </c>
      <c r="H17" t="str">
        <f>G17/(E17+2.4)</f>
        <v>2.240842541</v>
      </c>
      <c r="I17" t="str">
        <f>((H17)-TRUNC(H17))*(E17+2.4)/TRUNC(H17)+2.4</f>
        <v>17.756</v>
      </c>
    </row>
    <row r="19">
      <c r="E19" t="str">
        <f>E11</f>
        <v>125.119</v>
      </c>
      <c r="F19">
        <v>96.0</v>
      </c>
      <c r="G19" t="str">
        <f>F19*3.175</f>
        <v>304.8</v>
      </c>
      <c r="H19" t="str">
        <f>G19/(E19+2.4)</f>
        <v>2.390232044</v>
      </c>
      <c r="I19" t="str">
        <f>((H19)-TRUNC(H19))*(E19+2.4)/TRUNC(H19)+2.4</f>
        <v>27.281</v>
      </c>
    </row>
    <row r="21" ht="15.75" customHeight="1">
      <c r="E21" t="str">
        <f>E11</f>
        <v>125.119</v>
      </c>
      <c r="F21">
        <v>98.0</v>
      </c>
      <c r="G21" t="str">
        <f>F21*3.175</f>
        <v>311.15</v>
      </c>
      <c r="H21" t="str">
        <f>G21/(E21+2.4)</f>
        <v>2.440028545</v>
      </c>
      <c r="I21" t="str">
        <f>((H21)-TRUNC(H21))*(E21+2.4)/TRUNC(H21)+2.4</f>
        <v>30.456</v>
      </c>
    </row>
    <row r="22" ht="15.75" customHeight="1"/>
    <row r="23" ht="15.75" customHeight="1">
      <c r="E23" t="str">
        <f>E11</f>
        <v>125.119</v>
      </c>
      <c r="F23">
        <v>102.0</v>
      </c>
      <c r="G23" t="str">
        <f>F23*3.175</f>
        <v>323.85</v>
      </c>
      <c r="H23" t="str">
        <f>G23/(E23+2.4)</f>
        <v>2.539621547</v>
      </c>
      <c r="I23" t="str">
        <f>((H23)-TRUNC(H23))*(E23+2.4)/TRUNC(H23)+2.4</f>
        <v>36.806</v>
      </c>
    </row>
    <row r="24" ht="15.75" customHeight="1"/>
    <row r="25" ht="15.75" customHeight="1">
      <c r="E25" t="str">
        <f>E13</f>
        <v>125.119</v>
      </c>
      <c r="F25">
        <v>105.0</v>
      </c>
      <c r="G25" t="str">
        <f>F25*3.175</f>
        <v>333.375</v>
      </c>
      <c r="H25" t="str">
        <f>G25/(E25+2.4)</f>
        <v>2.614316298</v>
      </c>
      <c r="I25" t="str">
        <f>((H25)-TRUNC(H25))*(E25+2.4)/TRUNC(H25)+2.4</f>
        <v>41.5685</v>
      </c>
    </row>
    <row r="26" ht="15.75" customHeight="1"/>
    <row r="27" ht="15.75" customHeight="1">
      <c r="E27" t="str">
        <f>E17</f>
        <v>125.119</v>
      </c>
      <c r="F27">
        <v>108.0</v>
      </c>
      <c r="G27" t="str">
        <f>F27*3.175</f>
        <v>342.9</v>
      </c>
      <c r="H27" t="str">
        <f>G27/(E27+2.4)</f>
        <v>2.689011049</v>
      </c>
      <c r="I27" t="str">
        <f>((H27)-TRUNC(H27))*(E27+2.4)/TRUNC(H27)+2.4</f>
        <v>46.331</v>
      </c>
    </row>
    <row r="28" ht="15.75" customHeight="1"/>
    <row r="29" ht="15.75" customHeight="1">
      <c r="E29" t="str">
        <f>E17</f>
        <v>125.119</v>
      </c>
      <c r="F29">
        <v>110.0</v>
      </c>
      <c r="G29" t="str">
        <f>F29*3.175</f>
        <v>349.25</v>
      </c>
      <c r="H29" t="str">
        <f>G29/(E29+2.4)</f>
        <v>2.73880755</v>
      </c>
      <c r="I29" t="str">
        <f>((H29)-TRUNC(H29))*(E29+2.4)/TRUNC(H29)+2.4</f>
        <v>49.506</v>
      </c>
    </row>
    <row r="30" ht="15.75" customHeight="1"/>
    <row r="31" ht="15.75" customHeight="1">
      <c r="E31" t="str">
        <f>E19</f>
        <v>125.119</v>
      </c>
      <c r="F31">
        <v>120.0</v>
      </c>
      <c r="G31" t="str">
        <f>F31*3.175</f>
        <v>381</v>
      </c>
      <c r="H31" t="str">
        <f>G31/(E31+2.4)</f>
        <v>2.987790055</v>
      </c>
      <c r="I31" t="str">
        <f>((H31)-TRUNC(H31))*(E31+2.4)/TRUNC(H31)+2.4</f>
        <v>65.381</v>
      </c>
    </row>
    <row r="32" ht="15.75" customHeight="1"/>
    <row r="33" ht="15.75" customHeight="1">
      <c r="E33" t="str">
        <f>E21</f>
        <v>125.119</v>
      </c>
      <c r="F33">
        <v>126.0</v>
      </c>
      <c r="G33" t="str">
        <f>F33*3.175</f>
        <v>400.05</v>
      </c>
      <c r="H33" t="str">
        <f>G33/(E33+2.4)</f>
        <v>3.137179558</v>
      </c>
      <c r="I33" t="str">
        <f>((H33)-TRUNC(H33))*(E33+2.4)/TRUNC(H33)+2.4</f>
        <v>8.231</v>
      </c>
    </row>
    <row r="34" ht="15.75" customHeight="1"/>
    <row r="35" ht="15.75" customHeight="1">
      <c r="E35" t="str">
        <f>E23</f>
        <v>125.119</v>
      </c>
      <c r="F35">
        <v>128.0</v>
      </c>
      <c r="G35" t="str">
        <f>F35*3.175</f>
        <v>406.4</v>
      </c>
      <c r="H35" t="str">
        <f>G35/(E35+2.4)</f>
        <v>3.186976058</v>
      </c>
      <c r="I35" t="str">
        <f>((H35)-TRUNC(H35))*(E35+2.4)/TRUNC(H35)+2.4</f>
        <v>10.34766667</v>
      </c>
    </row>
    <row r="36" ht="15.75" customHeight="1"/>
    <row r="37" ht="15.75" customHeight="1">
      <c r="E37" t="str">
        <f>E23</f>
        <v>125.119</v>
      </c>
      <c r="F37">
        <v>132.0</v>
      </c>
      <c r="G37" t="str">
        <f>F37*3.175</f>
        <v>419.1</v>
      </c>
      <c r="H37" t="str">
        <f>G37/(E37+2.4)</f>
        <v>3.28656906</v>
      </c>
      <c r="I37" t="str">
        <f>((H37)-TRUNC(H37))*(E37+2.4)/TRUNC(H37)+2.4</f>
        <v>14.581</v>
      </c>
    </row>
    <row r="38" ht="15.75" customHeight="1"/>
    <row r="39" ht="15.75" customHeight="1">
      <c r="E39" t="str">
        <f>E25</f>
        <v>125.119</v>
      </c>
      <c r="F39">
        <v>135.0</v>
      </c>
      <c r="G39" t="str">
        <f>F39*3.175</f>
        <v>428.625</v>
      </c>
      <c r="H39" t="str">
        <f>G39/(E39+2.4)</f>
        <v>3.361263812</v>
      </c>
      <c r="I39" t="str">
        <f>((H39)-TRUNC(H39))*(E39+2.4)/TRUNC(H39)+2.4</f>
        <v>17.756</v>
      </c>
    </row>
    <row r="40" ht="15.75" customHeight="1"/>
    <row r="41" ht="15.75" customHeight="1">
      <c r="E41" t="str">
        <f>E29</f>
        <v>125.119</v>
      </c>
      <c r="F41">
        <v>143.0</v>
      </c>
      <c r="G41" t="str">
        <f>F41*3.175</f>
        <v>454.025</v>
      </c>
      <c r="H41" t="str">
        <f>G41/(E41+2.4)</f>
        <v>3.560449815</v>
      </c>
      <c r="I41" t="str">
        <f>((H41)-TRUNC(H41))*(E41+2.4)/TRUNC(H41)+2.4</f>
        <v>26.22266667</v>
      </c>
    </row>
    <row r="42" ht="15.75" customHeight="1"/>
    <row r="43" ht="15.75" customHeight="1">
      <c r="E43" t="str">
        <f>E31</f>
        <v>125.119</v>
      </c>
      <c r="F43">
        <v>148.0</v>
      </c>
      <c r="G43" t="str">
        <f>F43*3.175</f>
        <v>469.9</v>
      </c>
      <c r="H43" t="str">
        <f>G43/(E43+2.4)</f>
        <v>3.684941068</v>
      </c>
      <c r="I43" t="str">
        <f>((H43)-TRUNC(H43))*(E43+2.4)/TRUNC(H43)+2.4</f>
        <v>31.51433333</v>
      </c>
    </row>
    <row r="44" ht="15.75" customHeight="1"/>
    <row r="45" ht="15.75" customHeight="1">
      <c r="E45" t="str">
        <f>E33</f>
        <v>125.119</v>
      </c>
      <c r="F45">
        <v>153.0</v>
      </c>
      <c r="G45" t="str">
        <f>F45*3.175</f>
        <v>485.775</v>
      </c>
      <c r="H45" t="str">
        <f>G45/(E45+2.4)</f>
        <v>3.80943232</v>
      </c>
      <c r="I45" t="str">
        <f>((H45)-TRUNC(H45))*(E45+2.4)/TRUNC(H45)+2.4</f>
        <v>36.806</v>
      </c>
    </row>
    <row r="46" ht="15.75" customHeight="1"/>
    <row r="47" ht="15.75" customHeight="1">
      <c r="E47" t="str">
        <f>E37</f>
        <v>125.119</v>
      </c>
      <c r="F47">
        <v>165.0</v>
      </c>
      <c r="G47" t="str">
        <f>F47*3.175</f>
        <v>523.875</v>
      </c>
      <c r="H47" t="str">
        <f>G47/(E47+2.4)</f>
        <v>4.108211325</v>
      </c>
      <c r="I47" t="str">
        <f>((H47)-TRUNC(H47))*(E47+2.4)/TRUNC(H47)+2.4</f>
        <v>5.84975</v>
      </c>
    </row>
    <row r="48" ht="15.75" customHeight="1"/>
    <row r="49" ht="15.75" customHeight="1">
      <c r="E49" t="str">
        <f>E39</f>
        <v>125.119</v>
      </c>
      <c r="F49">
        <v>176.0</v>
      </c>
      <c r="G49" t="str">
        <f>F49*3.175</f>
        <v>558.8</v>
      </c>
      <c r="H49" t="str">
        <f>G49/(E49+2.4)</f>
        <v>4.38209208</v>
      </c>
      <c r="I49" t="str">
        <f>((H49)-TRUNC(H49))*(E49+2.4)/TRUNC(H49)+2.4</f>
        <v>14.581</v>
      </c>
    </row>
    <row r="50" ht="15.75" customHeight="1"/>
    <row r="51" ht="15.75" customHeight="1">
      <c r="E51" t="str">
        <f>E41</f>
        <v>125.119</v>
      </c>
      <c r="F51">
        <v>128.0</v>
      </c>
      <c r="G51" t="str">
        <f>F51*3.175</f>
        <v>406.4</v>
      </c>
      <c r="H51" t="str">
        <f>G51/(E51+2.4)</f>
        <v>3.186976058</v>
      </c>
      <c r="I51" t="str">
        <f>((H51)-TRUNC(H51))*(E51+2.4)/TRUNC(H51)+2.4</f>
        <v>10.34766667</v>
      </c>
    </row>
    <row r="52" ht="15.75" customHeight="1"/>
    <row r="53" ht="15.75" customHeight="1"/>
    <row r="54" ht="15.75" customHeight="1">
      <c r="F54" t="str">
        <f>450+100</f>
        <v>550</v>
      </c>
      <c r="G54">
        <v>200.0</v>
      </c>
      <c r="H54">
        <v>2177.0</v>
      </c>
      <c r="I54">
        <v>150.0</v>
      </c>
    </row>
    <row r="55" ht="15.75" customHeight="1"/>
    <row r="56" ht="15.75" customHeight="1">
      <c r="D56" s="126" t="s">
        <v>3072</v>
      </c>
      <c r="E56" s="126" t="s">
        <v>3073</v>
      </c>
      <c r="F56" s="126" t="s">
        <v>3074</v>
      </c>
      <c r="G56" s="126" t="s">
        <v>3075</v>
      </c>
      <c r="H56" t="str">
        <f>(H57*1000)/3.175</f>
        <v>153</v>
      </c>
      <c r="J56" s="126" t="s">
        <v>3076</v>
      </c>
      <c r="K56" s="126" t="s">
        <v>3077</v>
      </c>
      <c r="L56" s="126" t="s">
        <v>3078</v>
      </c>
      <c r="M56" s="126" t="s">
        <v>3079</v>
      </c>
    </row>
    <row r="57" ht="15.75" customHeight="1">
      <c r="C57" t="s">
        <v>3056</v>
      </c>
      <c r="D57">
        <v>100000.0</v>
      </c>
      <c r="E57">
        <v>159.0</v>
      </c>
      <c r="F57">
        <v>2.925</v>
      </c>
      <c r="G57">
        <v>3.0</v>
      </c>
      <c r="H57" t="str">
        <f>(E57+F57)*G57/1000</f>
        <v>0.485775</v>
      </c>
      <c r="I57" s="126" t="s">
        <v>3080</v>
      </c>
      <c r="J57" t="str">
        <f>D57/(G57*G58)*H57</f>
        <v>4048.125</v>
      </c>
      <c r="K57">
        <v>4.0</v>
      </c>
      <c r="L57" t="str">
        <f>(J57+(K57*50))/2000</f>
        <v>2.1240625</v>
      </c>
      <c r="M57" t="str">
        <f>J57+(K57*50)+L58*50</f>
        <v>4354.625</v>
      </c>
      <c r="N57" s="126" t="s">
        <v>3081</v>
      </c>
      <c r="P57" s="126" t="s">
        <v>3082</v>
      </c>
      <c r="Q57" s="126" t="s">
        <v>3083</v>
      </c>
    </row>
    <row r="58" ht="15.75" customHeight="1">
      <c r="C58" t="s">
        <v>3084</v>
      </c>
      <c r="E58">
        <v>90.0</v>
      </c>
      <c r="F58">
        <v>3.0</v>
      </c>
      <c r="G58">
        <v>4.0</v>
      </c>
      <c r="H58">
        <v>390.0</v>
      </c>
      <c r="I58" s="126" t="s">
        <v>3085</v>
      </c>
      <c r="J58">
        <v>390.0</v>
      </c>
      <c r="L58" t="str">
        <f>ROUNDUP(L57,L57)</f>
        <v>2.13</v>
      </c>
      <c r="M58" t="str">
        <f>M57*(H58/1000)</f>
        <v>1698.30375</v>
      </c>
      <c r="N58" s="126" t="s">
        <v>3086</v>
      </c>
      <c r="P58">
        <v>8.0</v>
      </c>
      <c r="Q58">
        <v>9.0</v>
      </c>
      <c r="S58" s="126" t="s">
        <v>3087</v>
      </c>
    </row>
    <row r="59" ht="15.75" customHeight="1">
      <c r="M59" t="str">
        <f>M57*(H58/1000)+(M57*((J58-H58)/1000))</f>
        <v>1698.30375</v>
      </c>
      <c r="N59" s="126" t="s">
        <v>3088</v>
      </c>
      <c r="S59">
        <v>2.0</v>
      </c>
      <c r="T59" t="str">
        <f>M58*S59+M58*S61*K57</f>
        <v>6793.215</v>
      </c>
      <c r="U59" t="str">
        <f t="shared" ref="U59:U60" si="1">100/T59</f>
        <v>0.01472057045</v>
      </c>
    </row>
    <row r="60" ht="15.75" customHeight="1">
      <c r="M60" t="str">
        <f>M58*P58+M58*K57*Q58</f>
        <v>74725.365</v>
      </c>
      <c r="N60" s="126" t="s">
        <v>3089</v>
      </c>
      <c r="S60" s="126" t="s">
        <v>3090</v>
      </c>
      <c r="T60" t="str">
        <f>M59*S59+M59*S61*K57</f>
        <v>6793.215</v>
      </c>
      <c r="U60" t="str">
        <f t="shared" si="1"/>
        <v>0.01472057045</v>
      </c>
    </row>
    <row r="61" ht="15.75" customHeight="1">
      <c r="M61" t="str">
        <f>M59*P58+M59*K57*Q58</f>
        <v>74725.365</v>
      </c>
      <c r="N61" s="126" t="s">
        <v>3091</v>
      </c>
      <c r="S61">
        <v>0.5</v>
      </c>
      <c r="U61" t="str">
        <f>U60-U59</f>
        <v>0</v>
      </c>
    </row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printOptions/>
  <pageMargins bottom="1.0" footer="0.0" header="0.0" left="0.75" right="0.75" top="1.0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7030A0"/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2" width="16.0"/>
    <col customWidth="1" min="3" max="3" width="17.0"/>
    <col customWidth="1" min="4" max="4" width="15.0"/>
    <col customWidth="1" min="5" max="5" width="14.0"/>
    <col customWidth="1" min="6" max="6" width="18.0"/>
    <col customWidth="1" min="7" max="7" width="17.0"/>
    <col customWidth="1" min="8" max="8" width="19.0"/>
    <col customWidth="1" min="9" max="10" width="18.0"/>
    <col customWidth="1" min="11" max="11" width="12.0"/>
    <col customWidth="1" min="12" max="12" width="18.0"/>
  </cols>
  <sheetData>
    <row r="1" ht="25.5" customHeight="1">
      <c r="A1" s="7" t="s">
        <v>3092</v>
      </c>
      <c r="B1" s="8"/>
      <c r="C1" s="8"/>
      <c r="D1" s="8"/>
      <c r="E1" s="8"/>
      <c r="F1" s="8"/>
      <c r="G1" s="8"/>
      <c r="H1" s="8"/>
      <c r="I1" s="8"/>
      <c r="J1" s="8"/>
      <c r="K1" s="8"/>
      <c r="L1" s="9"/>
    </row>
    <row r="2">
      <c r="A2" s="10"/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</row>
    <row r="3">
      <c r="A3" s="11" t="s">
        <v>3093</v>
      </c>
      <c r="B3" s="8"/>
      <c r="C3" s="8"/>
      <c r="D3" s="8"/>
      <c r="E3" s="8"/>
      <c r="F3" s="8"/>
      <c r="G3" s="8"/>
      <c r="H3" s="8"/>
      <c r="I3" s="8"/>
      <c r="J3" s="8"/>
      <c r="K3" s="8"/>
      <c r="L3" s="9"/>
    </row>
    <row r="4">
      <c r="A4" s="127" t="s">
        <v>3094</v>
      </c>
      <c r="B4" s="127" t="s">
        <v>3095</v>
      </c>
      <c r="C4" s="127" t="s">
        <v>3096</v>
      </c>
      <c r="D4" s="127" t="s">
        <v>3097</v>
      </c>
      <c r="E4" s="127" t="s">
        <v>114</v>
      </c>
      <c r="F4" s="127" t="s">
        <v>3098</v>
      </c>
      <c r="G4" s="127" t="s">
        <v>3099</v>
      </c>
      <c r="H4" s="127" t="s">
        <v>3100</v>
      </c>
      <c r="I4" s="127" t="s">
        <v>3101</v>
      </c>
      <c r="J4" s="127" t="s">
        <v>3102</v>
      </c>
      <c r="K4" s="127" t="s">
        <v>3103</v>
      </c>
      <c r="L4" s="127" t="s">
        <v>3104</v>
      </c>
    </row>
    <row r="5" hidden="1">
      <c r="A5" s="123">
        <v>80.0</v>
      </c>
      <c r="B5" s="128" t="str">
        <f t="shared" ref="B5:B17" si="1">A5*3.175</f>
        <v>254</v>
      </c>
      <c r="C5" s="123" t="str">
        <f>JOB_INPUTS!B10</f>
        <v>90</v>
      </c>
      <c r="D5" s="123" t="str">
        <f>JOB_INPUTS!B13</f>
        <v>2.5</v>
      </c>
      <c r="E5" s="128" t="str">
        <f t="shared" ref="E5:E17" si="2">INT(B5/(C5+D5))</f>
        <v>2</v>
      </c>
      <c r="F5" s="128" t="str">
        <f t="shared" ref="F5:F17" si="3">IF(E5&gt;0,(B5/E5)-C5,"")</f>
        <v>37</v>
      </c>
      <c r="G5" s="123" t="str">
        <f t="shared" ref="G5:G17" si="4">IF(F5&gt;5,"GAP TOO BIG",IF(F5&gt;=D5,"OK","GAP TOO SMALL"))</f>
        <v>GAP TOO BIG</v>
      </c>
      <c r="H5" s="128" t="str">
        <f t="shared" ref="H5:H17" si="5">IF(B5&gt;0,E5*(C5+F5)/B5,"")</f>
        <v>1</v>
      </c>
      <c r="I5" s="123" t="s">
        <v>3105</v>
      </c>
      <c r="J5" s="123" t="str">
        <f t="shared" ref="J5:J17" si="6">IF(AND(E5&gt;=1,F5&gt;=D5),"COMPATIBLE","NOT COMPATIBLE")</f>
        <v>COMPATIBLE</v>
      </c>
      <c r="K5" s="128" t="str">
        <f t="shared" ref="K5:K17" si="7">IF(J5="COMPATIBLE",F5*100+E5*10+H5*10,0)</f>
        <v>3730</v>
      </c>
      <c r="L5" s="123" t="str">
        <f t="shared" ref="L5:L17" si="8">IF(AND(J5="COMPATIBLE",K5=MIN($K$5:$K$17)),"BEST OPTION","")</f>
        <v/>
      </c>
    </row>
    <row r="6">
      <c r="A6" s="123">
        <v>88.0</v>
      </c>
      <c r="B6" s="128" t="str">
        <f t="shared" si="1"/>
        <v>279.4</v>
      </c>
      <c r="C6" s="123" t="str">
        <f>JOB_INPUTS!B10</f>
        <v>90</v>
      </c>
      <c r="D6" s="123" t="str">
        <f>JOB_INPUTS!B13</f>
        <v>2.5</v>
      </c>
      <c r="E6" s="128" t="str">
        <f t="shared" si="2"/>
        <v>3</v>
      </c>
      <c r="F6" s="128" t="str">
        <f t="shared" si="3"/>
        <v>3.133333333</v>
      </c>
      <c r="G6" s="123" t="str">
        <f t="shared" si="4"/>
        <v>OK</v>
      </c>
      <c r="H6" s="128" t="str">
        <f t="shared" si="5"/>
        <v>1</v>
      </c>
      <c r="I6" s="123" t="s">
        <v>3105</v>
      </c>
      <c r="J6" s="123" t="str">
        <f t="shared" si="6"/>
        <v>COMPATIBLE</v>
      </c>
      <c r="K6" s="128" t="str">
        <f t="shared" si="7"/>
        <v>353.3333333</v>
      </c>
      <c r="L6" s="123" t="str">
        <f t="shared" si="8"/>
        <v/>
      </c>
    </row>
    <row r="7">
      <c r="A7" s="123">
        <v>90.0</v>
      </c>
      <c r="B7" s="128" t="str">
        <f t="shared" si="1"/>
        <v>285.75</v>
      </c>
      <c r="C7" s="123" t="str">
        <f>JOB_INPUTS!B10</f>
        <v>90</v>
      </c>
      <c r="D7" s="123" t="str">
        <f>JOB_INPUTS!B13</f>
        <v>2.5</v>
      </c>
      <c r="E7" s="128" t="str">
        <f t="shared" si="2"/>
        <v>3</v>
      </c>
      <c r="F7" s="128" t="str">
        <f t="shared" si="3"/>
        <v>5.25</v>
      </c>
      <c r="G7" s="123" t="str">
        <f t="shared" si="4"/>
        <v>GAP TOO BIG</v>
      </c>
      <c r="H7" s="128" t="str">
        <f t="shared" si="5"/>
        <v>1</v>
      </c>
      <c r="I7" s="123" t="s">
        <v>3105</v>
      </c>
      <c r="J7" s="123" t="str">
        <f t="shared" si="6"/>
        <v>COMPATIBLE</v>
      </c>
      <c r="K7" s="128" t="str">
        <f t="shared" si="7"/>
        <v>565</v>
      </c>
      <c r="L7" s="123" t="str">
        <f t="shared" si="8"/>
        <v/>
      </c>
    </row>
    <row r="8">
      <c r="A8" s="123">
        <v>98.0</v>
      </c>
      <c r="B8" s="128" t="str">
        <f t="shared" si="1"/>
        <v>311.15</v>
      </c>
      <c r="C8" s="123" t="str">
        <f>JOB_INPUTS!B10</f>
        <v>90</v>
      </c>
      <c r="D8" s="123" t="str">
        <f>JOB_INPUTS!B13</f>
        <v>2.5</v>
      </c>
      <c r="E8" s="128" t="str">
        <f t="shared" si="2"/>
        <v>3</v>
      </c>
      <c r="F8" s="128" t="str">
        <f t="shared" si="3"/>
        <v>13.71666667</v>
      </c>
      <c r="G8" s="123" t="str">
        <f t="shared" si="4"/>
        <v>GAP TOO BIG</v>
      </c>
      <c r="H8" s="128" t="str">
        <f t="shared" si="5"/>
        <v>1</v>
      </c>
      <c r="I8" s="123" t="s">
        <v>3105</v>
      </c>
      <c r="J8" s="123" t="str">
        <f t="shared" si="6"/>
        <v>COMPATIBLE</v>
      </c>
      <c r="K8" s="128" t="str">
        <f t="shared" si="7"/>
        <v>1411.666667</v>
      </c>
      <c r="L8" s="123" t="str">
        <f t="shared" si="8"/>
        <v/>
      </c>
    </row>
    <row r="9">
      <c r="A9" s="123">
        <v>106.0</v>
      </c>
      <c r="B9" s="128" t="str">
        <f t="shared" si="1"/>
        <v>336.55</v>
      </c>
      <c r="C9" s="123" t="str">
        <f>JOB_INPUTS!B10</f>
        <v>90</v>
      </c>
      <c r="D9" s="123" t="str">
        <f>JOB_INPUTS!B13</f>
        <v>2.5</v>
      </c>
      <c r="E9" s="128" t="str">
        <f t="shared" si="2"/>
        <v>3</v>
      </c>
      <c r="F9" s="128" t="str">
        <f t="shared" si="3"/>
        <v>22.18333333</v>
      </c>
      <c r="G9" s="123" t="str">
        <f t="shared" si="4"/>
        <v>GAP TOO BIG</v>
      </c>
      <c r="H9" s="128" t="str">
        <f t="shared" si="5"/>
        <v>1</v>
      </c>
      <c r="I9" s="123" t="s">
        <v>3105</v>
      </c>
      <c r="J9" s="123" t="str">
        <f t="shared" si="6"/>
        <v>COMPATIBLE</v>
      </c>
      <c r="K9" s="128" t="str">
        <f t="shared" si="7"/>
        <v>2258.333333</v>
      </c>
      <c r="L9" s="123" t="str">
        <f t="shared" si="8"/>
        <v/>
      </c>
    </row>
    <row r="10">
      <c r="A10" s="123">
        <v>111.0</v>
      </c>
      <c r="B10" s="128" t="str">
        <f t="shared" si="1"/>
        <v>352.425</v>
      </c>
      <c r="C10" s="123" t="str">
        <f>JOB_INPUTS!B10</f>
        <v>90</v>
      </c>
      <c r="D10" s="123" t="str">
        <f>JOB_INPUTS!B13</f>
        <v>2.5</v>
      </c>
      <c r="E10" s="128" t="str">
        <f t="shared" si="2"/>
        <v>3</v>
      </c>
      <c r="F10" s="128" t="str">
        <f t="shared" si="3"/>
        <v>27.475</v>
      </c>
      <c r="G10" s="123" t="str">
        <f t="shared" si="4"/>
        <v>GAP TOO BIG</v>
      </c>
      <c r="H10" s="128" t="str">
        <f t="shared" si="5"/>
        <v>1</v>
      </c>
      <c r="I10" s="123" t="s">
        <v>3105</v>
      </c>
      <c r="J10" s="123" t="str">
        <f t="shared" si="6"/>
        <v>COMPATIBLE</v>
      </c>
      <c r="K10" s="128" t="str">
        <f t="shared" si="7"/>
        <v>2787.5</v>
      </c>
      <c r="L10" s="123" t="str">
        <f t="shared" si="8"/>
        <v/>
      </c>
    </row>
    <row r="11">
      <c r="A11" s="123">
        <v>117.0</v>
      </c>
      <c r="B11" s="128" t="str">
        <f t="shared" si="1"/>
        <v>371.475</v>
      </c>
      <c r="C11" s="123" t="str">
        <f>JOB_INPUTS!B10</f>
        <v>90</v>
      </c>
      <c r="D11" s="123" t="str">
        <f>JOB_INPUTS!B13</f>
        <v>2.5</v>
      </c>
      <c r="E11" s="128" t="str">
        <f t="shared" si="2"/>
        <v>4</v>
      </c>
      <c r="F11" s="128" t="str">
        <f t="shared" si="3"/>
        <v>2.86875</v>
      </c>
      <c r="G11" s="123" t="str">
        <f t="shared" si="4"/>
        <v>OK</v>
      </c>
      <c r="H11" s="128" t="str">
        <f t="shared" si="5"/>
        <v>1</v>
      </c>
      <c r="I11" s="123" t="s">
        <v>3105</v>
      </c>
      <c r="J11" s="123" t="str">
        <f t="shared" si="6"/>
        <v>COMPATIBLE</v>
      </c>
      <c r="K11" s="128" t="str">
        <f t="shared" si="7"/>
        <v>336.875</v>
      </c>
      <c r="L11" s="123" t="str">
        <f t="shared" si="8"/>
        <v>BEST OPTION</v>
      </c>
    </row>
    <row r="12">
      <c r="A12" s="123">
        <v>124.0</v>
      </c>
      <c r="B12" s="128" t="str">
        <f t="shared" si="1"/>
        <v>393.7</v>
      </c>
      <c r="C12" s="123" t="str">
        <f>JOB_INPUTS!B10</f>
        <v>90</v>
      </c>
      <c r="D12" s="123" t="str">
        <f>JOB_INPUTS!B13</f>
        <v>2.5</v>
      </c>
      <c r="E12" s="128" t="str">
        <f t="shared" si="2"/>
        <v>4</v>
      </c>
      <c r="F12" s="128" t="str">
        <f t="shared" si="3"/>
        <v>8.425</v>
      </c>
      <c r="G12" s="123" t="str">
        <f t="shared" si="4"/>
        <v>GAP TOO BIG</v>
      </c>
      <c r="H12" s="128" t="str">
        <f t="shared" si="5"/>
        <v>1</v>
      </c>
      <c r="I12" s="123" t="s">
        <v>3105</v>
      </c>
      <c r="J12" s="123" t="str">
        <f t="shared" si="6"/>
        <v>COMPATIBLE</v>
      </c>
      <c r="K12" s="128" t="str">
        <f t="shared" si="7"/>
        <v>892.5</v>
      </c>
      <c r="L12" s="123" t="str">
        <f t="shared" si="8"/>
        <v/>
      </c>
    </row>
    <row r="13">
      <c r="A13" s="123">
        <v>135.0</v>
      </c>
      <c r="B13" s="128" t="str">
        <f t="shared" si="1"/>
        <v>428.625</v>
      </c>
      <c r="C13" s="123" t="str">
        <f>JOB_INPUTS!B10</f>
        <v>90</v>
      </c>
      <c r="D13" s="123" t="str">
        <f>JOB_INPUTS!B13</f>
        <v>2.5</v>
      </c>
      <c r="E13" s="128" t="str">
        <f t="shared" si="2"/>
        <v>4</v>
      </c>
      <c r="F13" s="128" t="str">
        <f t="shared" si="3"/>
        <v>17.15625</v>
      </c>
      <c r="G13" s="123" t="str">
        <f t="shared" si="4"/>
        <v>GAP TOO BIG</v>
      </c>
      <c r="H13" s="128" t="str">
        <f t="shared" si="5"/>
        <v>1</v>
      </c>
      <c r="I13" s="123" t="s">
        <v>3105</v>
      </c>
      <c r="J13" s="123" t="str">
        <f t="shared" si="6"/>
        <v>COMPATIBLE</v>
      </c>
      <c r="K13" s="128" t="str">
        <f t="shared" si="7"/>
        <v>1765.625</v>
      </c>
      <c r="L13" s="123" t="str">
        <f t="shared" si="8"/>
        <v/>
      </c>
    </row>
    <row r="14">
      <c r="A14" s="123">
        <v>149.0</v>
      </c>
      <c r="B14" s="128" t="str">
        <f t="shared" si="1"/>
        <v>473.075</v>
      </c>
      <c r="C14" s="123" t="str">
        <f>JOB_INPUTS!B10</f>
        <v>90</v>
      </c>
      <c r="D14" s="123" t="str">
        <f>JOB_INPUTS!B13</f>
        <v>2.5</v>
      </c>
      <c r="E14" s="128" t="str">
        <f t="shared" si="2"/>
        <v>5</v>
      </c>
      <c r="F14" s="128" t="str">
        <f t="shared" si="3"/>
        <v>4.615</v>
      </c>
      <c r="G14" s="123" t="str">
        <f t="shared" si="4"/>
        <v>OK</v>
      </c>
      <c r="H14" s="128" t="str">
        <f t="shared" si="5"/>
        <v>1</v>
      </c>
      <c r="I14" s="123" t="s">
        <v>3105</v>
      </c>
      <c r="J14" s="123" t="str">
        <f t="shared" si="6"/>
        <v>COMPATIBLE</v>
      </c>
      <c r="K14" s="128" t="str">
        <f t="shared" si="7"/>
        <v>521.5</v>
      </c>
      <c r="L14" s="123" t="str">
        <f t="shared" si="8"/>
        <v/>
      </c>
    </row>
    <row r="15">
      <c r="A15" s="123">
        <v>154.0</v>
      </c>
      <c r="B15" s="128" t="str">
        <f t="shared" si="1"/>
        <v>488.95</v>
      </c>
      <c r="C15" s="123" t="str">
        <f>JOB_INPUTS!B10</f>
        <v>90</v>
      </c>
      <c r="D15" s="123" t="str">
        <f>JOB_INPUTS!B13</f>
        <v>2.5</v>
      </c>
      <c r="E15" s="128" t="str">
        <f t="shared" si="2"/>
        <v>5</v>
      </c>
      <c r="F15" s="128" t="str">
        <f t="shared" si="3"/>
        <v>7.79</v>
      </c>
      <c r="G15" s="123" t="str">
        <f t="shared" si="4"/>
        <v>GAP TOO BIG</v>
      </c>
      <c r="H15" s="128" t="str">
        <f t="shared" si="5"/>
        <v>1</v>
      </c>
      <c r="I15" s="123" t="s">
        <v>3105</v>
      </c>
      <c r="J15" s="123" t="str">
        <f t="shared" si="6"/>
        <v>COMPATIBLE</v>
      </c>
      <c r="K15" s="128" t="str">
        <f t="shared" si="7"/>
        <v>839</v>
      </c>
      <c r="L15" s="123" t="str">
        <f t="shared" si="8"/>
        <v/>
      </c>
    </row>
    <row r="16" hidden="1">
      <c r="A16" s="123">
        <v>160.0</v>
      </c>
      <c r="B16" s="128" t="str">
        <f t="shared" si="1"/>
        <v>508</v>
      </c>
      <c r="C16" s="123" t="str">
        <f>JOB_INPUTS!B10</f>
        <v>90</v>
      </c>
      <c r="D16" s="123" t="str">
        <f>JOB_INPUTS!B13</f>
        <v>2.5</v>
      </c>
      <c r="E16" s="128" t="str">
        <f t="shared" si="2"/>
        <v>5</v>
      </c>
      <c r="F16" s="128" t="str">
        <f t="shared" si="3"/>
        <v>11.6</v>
      </c>
      <c r="G16" s="123" t="str">
        <f t="shared" si="4"/>
        <v>GAP TOO BIG</v>
      </c>
      <c r="H16" s="128" t="str">
        <f t="shared" si="5"/>
        <v>1</v>
      </c>
      <c r="I16" s="123" t="s">
        <v>3105</v>
      </c>
      <c r="J16" s="123" t="str">
        <f t="shared" si="6"/>
        <v>COMPATIBLE</v>
      </c>
      <c r="K16" s="128" t="str">
        <f t="shared" si="7"/>
        <v>1220</v>
      </c>
      <c r="L16" s="123" t="str">
        <f t="shared" si="8"/>
        <v/>
      </c>
    </row>
    <row r="17">
      <c r="A17" s="123">
        <v>189.0</v>
      </c>
      <c r="B17" s="128" t="str">
        <f t="shared" si="1"/>
        <v>600.075</v>
      </c>
      <c r="C17" s="123" t="str">
        <f>JOB_INPUTS!B10</f>
        <v>90</v>
      </c>
      <c r="D17" s="123" t="str">
        <f>JOB_INPUTS!B13</f>
        <v>2.5</v>
      </c>
      <c r="E17" s="128" t="str">
        <f t="shared" si="2"/>
        <v>6</v>
      </c>
      <c r="F17" s="128" t="str">
        <f t="shared" si="3"/>
        <v>10.0125</v>
      </c>
      <c r="G17" s="123" t="str">
        <f t="shared" si="4"/>
        <v>GAP TOO BIG</v>
      </c>
      <c r="H17" s="128" t="str">
        <f t="shared" si="5"/>
        <v>1</v>
      </c>
      <c r="I17" s="123" t="s">
        <v>3105</v>
      </c>
      <c r="J17" s="123" t="str">
        <f t="shared" si="6"/>
        <v>COMPATIBLE</v>
      </c>
      <c r="K17" s="128" t="str">
        <f t="shared" si="7"/>
        <v>1071.25</v>
      </c>
      <c r="L17" s="123" t="str">
        <f t="shared" si="8"/>
        <v/>
      </c>
    </row>
    <row r="18">
      <c r="A18" s="10"/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10"/>
    </row>
    <row r="19">
      <c r="A19" s="10"/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</row>
    <row r="20">
      <c r="A20" s="11" t="s">
        <v>3106</v>
      </c>
      <c r="B20" s="8"/>
      <c r="C20" s="8"/>
      <c r="D20" s="8"/>
      <c r="E20" s="8"/>
      <c r="F20" s="8"/>
      <c r="G20" s="8"/>
      <c r="H20" s="8"/>
      <c r="I20" s="8"/>
      <c r="J20" s="8"/>
      <c r="K20" s="8"/>
      <c r="L20" s="9"/>
    </row>
    <row r="21" ht="15.75" customHeight="1">
      <c r="A21" s="123" t="s">
        <v>3107</v>
      </c>
      <c r="B21" s="128" t="str">
        <f t="array" ref="B21">INDEX(A5:A17,MATCH(MIN(K5:K17),K5:K17,0))</f>
        <v>117</v>
      </c>
      <c r="C21" s="10"/>
      <c r="D21" s="10"/>
      <c r="E21" s="10"/>
      <c r="F21" s="10"/>
      <c r="G21" s="10"/>
      <c r="H21" s="10"/>
      <c r="I21" s="10"/>
      <c r="J21" s="10"/>
      <c r="K21" s="10"/>
      <c r="L21" s="10"/>
    </row>
    <row r="22" ht="15.75" customHeight="1">
      <c r="A22" s="123" t="s">
        <v>3108</v>
      </c>
      <c r="B22" s="128" t="str">
        <f t="array" ref="B22">INDEX(B5:B17,MATCH(MIN(K5:K17),K5:K17,0))</f>
        <v>371.475</v>
      </c>
      <c r="C22" s="10"/>
      <c r="D22" s="10"/>
      <c r="E22" s="10"/>
      <c r="F22" s="10"/>
      <c r="G22" s="10"/>
      <c r="H22" s="10"/>
      <c r="I22" s="10"/>
      <c r="J22" s="10"/>
      <c r="K22" s="10"/>
      <c r="L22" s="10"/>
    </row>
    <row r="23" ht="15.75" customHeight="1">
      <c r="A23" s="123" t="s">
        <v>114</v>
      </c>
      <c r="B23" s="128" t="str">
        <f t="array" ref="B23">INDEX(E5:E17,MATCH(MIN(K5:K17),K5:K17,0))</f>
        <v>4</v>
      </c>
      <c r="C23" s="10"/>
      <c r="D23" s="10"/>
      <c r="E23" s="10"/>
      <c r="F23" s="10"/>
      <c r="G23" s="10"/>
      <c r="H23" s="10"/>
      <c r="I23" s="10"/>
      <c r="J23" s="10"/>
      <c r="K23" s="10"/>
      <c r="L23" s="10"/>
    </row>
    <row r="24" ht="15.75" customHeight="1">
      <c r="A24" s="123" t="s">
        <v>3098</v>
      </c>
      <c r="B24" s="128" t="str">
        <f t="array" ref="B24">INDEX(F5:F17,MATCH(MIN(K5:K17),K5:K17,0))</f>
        <v>2.86875</v>
      </c>
      <c r="C24" s="10"/>
      <c r="D24" s="10"/>
      <c r="E24" s="10"/>
      <c r="F24" s="10"/>
      <c r="G24" s="10"/>
      <c r="H24" s="10"/>
      <c r="I24" s="10"/>
      <c r="J24" s="10"/>
      <c r="K24" s="10"/>
      <c r="L24" s="10"/>
    </row>
    <row r="25" ht="15.75" customHeight="1">
      <c r="A25" s="123" t="s">
        <v>3102</v>
      </c>
      <c r="B25" s="128" t="str">
        <f t="array" ref="B25">INDEX(J5:J17,MATCH(MIN(K5:K17),K5:K17,0))</f>
        <v>COMPATIBLE</v>
      </c>
      <c r="C25" s="10"/>
      <c r="D25" s="10"/>
      <c r="E25" s="10"/>
      <c r="F25" s="10"/>
      <c r="G25" s="10"/>
      <c r="H25" s="10"/>
      <c r="I25" s="10"/>
      <c r="J25" s="10"/>
      <c r="K25" s="10"/>
      <c r="L25" s="10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3">
    <mergeCell ref="A3:L3"/>
    <mergeCell ref="A1:L1"/>
    <mergeCell ref="A20:L20"/>
  </mergeCells>
  <conditionalFormatting sqref="G5:G17">
    <cfRule type="expression" dxfId="0" priority="1">
      <formula>G5="GAP TOO SMALL"</formula>
    </cfRule>
  </conditionalFormatting>
  <conditionalFormatting sqref="L5:L17">
    <cfRule type="expression" dxfId="1" priority="2">
      <formula>L5="BEST OPTION"</formula>
    </cfRule>
  </conditionalFormatting>
  <printOptions/>
  <pageMargins bottom="1.0" footer="0.0" header="0.0" left="0.75" right="0.75" top="1.0"/>
  <pageSetup paperSize="9"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ScaleCrop>false</ScaleCrop>
  <HeadingPairs>
    <vt:vector baseType="variant" size="2">
      <vt:variant>
        <vt:lpstr>Worksheets</vt:lpstr>
      </vt:variant>
      <vt:variant>
        <vt:i4>8</vt:i4>
      </vt:variant>
    </vt:vector>
  </HeadingPairs>
  <TitlesOfParts>
    <vt:vector baseType="lpstr" size="8">
      <vt:lpstr>README</vt:lpstr>
      <vt:lpstr>MACHINE_COST</vt:lpstr>
      <vt:lpstr>JOB_INPUTS</vt:lpstr>
      <vt:lpstr>JOB_COSTING</vt:lpstr>
      <vt:lpstr>ANALYSIS</vt:lpstr>
      <vt:lpstr>CYLINDER_DB</vt:lpstr>
      <vt:lpstr>LEGACY_REVISION</vt:lpstr>
      <vt:lpstr>CYLINDER_SELECTOR</vt:lpstr>
    </vt:vector>
  </TitlesOfParts>
  <LinksUpToDate>false</LinksUpToDate>
  <SharedDoc>false</SharedDoc>
  <HyperlinksChanged>false</HyperlinksChanged>
  <Application>Microsoft Excel</Application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2026-08-31T07:53:39Z</dcterms:created>
  <dc:creator>openpyxl</dc:creator>
  <cp:lastModifiedBy>WELCOME</cp:lastModifiedBy>
  <cp:lastPrinted>2026-09-13T12:37:00Z</cp:lastPrinted>
  <dcterms:modified xsi:type="dcterms:W3CDTF">2026-10-01T10:29:09Z</dcterms:modified>
</cp:coreProperties>
</file>